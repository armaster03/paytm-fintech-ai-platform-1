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paytm-fintech-ai-platform\payments_fraud_analytics\"/>
    </mc:Choice>
  </mc:AlternateContent>
  <xr:revisionPtr revIDLastSave="0" documentId="13_ncr:1_{2F3A6855-7719-48F5-B81A-49C8A6499FB1}" xr6:coauthVersionLast="47" xr6:coauthVersionMax="47" xr10:uidLastSave="{00000000-0000-0000-0000-000000000000}"/>
  <bookViews>
    <workbookView xWindow="-108" yWindow="-108" windowWidth="23256" windowHeight="12456" activeTab="1" xr2:uid="{FB3D9699-465D-415E-B26C-3857D54ADBAD}"/>
  </bookViews>
  <sheets>
    <sheet name="merchants" sheetId="1" r:id="rId1"/>
    <sheet name="Summary_Pivot" sheetId="4" r:id="rId2"/>
    <sheet name="transactions" sheetId="2" r:id="rId3"/>
    <sheet name="FeeTable" sheetId="3" r:id="rId4"/>
  </sheet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3" i="2"/>
  <c r="D4" i="2"/>
  <c r="D5" i="2"/>
  <c r="D6" i="2"/>
  <c r="D7" i="2"/>
  <c r="D8" i="2"/>
  <c r="D2" i="2"/>
  <c r="F2" i="2"/>
</calcChain>
</file>

<file path=xl/sharedStrings.xml><?xml version="1.0" encoding="utf-8"?>
<sst xmlns="http://schemas.openxmlformats.org/spreadsheetml/2006/main" count="1838" uniqueCount="627">
  <si>
    <t>merchant_id</t>
  </si>
  <si>
    <t>merchant_name</t>
  </si>
  <si>
    <t>category</t>
  </si>
  <si>
    <t>region</t>
  </si>
  <si>
    <t>Merchant_001</t>
  </si>
  <si>
    <t>ecommerce</t>
  </si>
  <si>
    <t>South</t>
  </si>
  <si>
    <t>Merchant_002</t>
  </si>
  <si>
    <t>grocery</t>
  </si>
  <si>
    <t>West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</si>
  <si>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</si>
  <si>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</si>
  <si>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</si>
  <si>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</si>
  <si>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</si>
  <si>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</si>
  <si>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</si>
  <si>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</si>
  <si>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</si>
  <si>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</si>
  <si>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</si>
  <si>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</si>
  <si>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</si>
  <si>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</si>
  <si>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</si>
  <si>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</si>
  <si>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</si>
  <si>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</si>
  <si>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</si>
  <si>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</si>
  <si>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</si>
  <si>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</si>
  <si>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</si>
  <si>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</si>
  <si>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</si>
  <si>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</si>
  <si>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</si>
  <si>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</si>
  <si>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</si>
  <si>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</si>
  <si>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Merchant_027</t>
  </si>
  <si>
    <t>Merchant_028</t>
  </si>
  <si>
    <t>Merchant_029</t>
  </si>
  <si>
    <t>Merchant_030</t>
  </si>
  <si>
    <t>Merchant_031</t>
  </si>
  <si>
    <t>Merchant_032</t>
  </si>
  <si>
    <t>Merchant_033</t>
  </si>
  <si>
    <t>Merchant_034</t>
  </si>
  <si>
    <t>Merchant_035</t>
  </si>
  <si>
    <t>Merchant_036</t>
  </si>
  <si>
    <t>entertainment</t>
  </si>
  <si>
    <t>Merchant_037</t>
  </si>
  <si>
    <t>Merchant_038</t>
  </si>
  <si>
    <t>Merchant_039</t>
  </si>
  <si>
    <t>Merchant_040</t>
  </si>
  <si>
    <t>transaction_id</t>
  </si>
  <si>
    <t>user_id</t>
  </si>
  <si>
    <t>transaction_time</t>
  </si>
  <si>
    <t>amount_inr</t>
  </si>
  <si>
    <t>payment_method</t>
  </si>
  <si>
    <t>status</t>
  </si>
  <si>
    <t>risk_score</t>
  </si>
  <si>
    <t>TXN100000</t>
  </si>
  <si>
    <t>Wallet</t>
  </si>
  <si>
    <t>captured</t>
  </si>
  <si>
    <t>TXN100001</t>
  </si>
  <si>
    <t>UPI</t>
  </si>
  <si>
    <t>TXN100002</t>
  </si>
  <si>
    <t>TXN100003</t>
  </si>
  <si>
    <t>Netbanking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</si>
  <si>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</si>
  <si>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</si>
  <si>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</si>
  <si>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</si>
  <si>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</si>
  <si>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</si>
  <si>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</si>
  <si>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</si>
  <si>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Card</t>
  </si>
  <si>
    <t>failed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</si>
  <si>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</si>
  <si>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</si>
  <si>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</si>
  <si>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</si>
  <si>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</si>
  <si>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</si>
  <si>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</si>
  <si>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</si>
  <si>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</si>
  <si>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</si>
  <si>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</si>
  <si>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</si>
  <si>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chargeback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</si>
  <si>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</si>
  <si>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</si>
  <si>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</si>
  <si>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</si>
  <si>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</si>
  <si>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</si>
  <si>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</si>
  <si>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</si>
  <si>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</si>
  <si>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</si>
  <si>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</si>
  <si>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</si>
  <si>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</si>
  <si>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</si>
  <si>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</si>
  <si>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</si>
  <si>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</si>
  <si>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</si>
  <si>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</si>
  <si>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</si>
  <si>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</si>
  <si>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</si>
  <si>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</si>
  <si>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</si>
  <si>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</si>
  <si>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</si>
  <si>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</si>
  <si>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</si>
  <si>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</si>
  <si>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</si>
  <si>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</si>
  <si>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</si>
  <si>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</si>
  <si>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</si>
  <si>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</si>
  <si>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</si>
  <si>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</si>
  <si>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</si>
  <si>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</si>
  <si>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</si>
  <si>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</si>
  <si>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</si>
  <si>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</si>
  <si>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</si>
  <si>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</si>
  <si>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</si>
  <si>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</si>
  <si>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</si>
  <si>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</si>
  <si>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</si>
  <si>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</si>
  <si>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</si>
  <si>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</si>
  <si>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</si>
  <si>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</si>
  <si>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</si>
  <si>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</si>
  <si>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</si>
  <si>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</si>
  <si>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</si>
  <si>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</si>
  <si>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</si>
  <si>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</si>
  <si>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</si>
  <si>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</si>
  <si>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</si>
  <si>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</si>
  <si>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</si>
  <si>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</si>
  <si>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</si>
  <si>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</si>
  <si>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</si>
  <si>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</si>
  <si>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</si>
  <si>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</si>
  <si>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</si>
  <si>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</si>
  <si>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</si>
  <si>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</si>
  <si>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</si>
  <si>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</si>
  <si>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</si>
  <si>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</si>
  <si>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</si>
  <si>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</si>
  <si>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</si>
  <si>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</si>
  <si>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</si>
  <si>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</si>
  <si>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</si>
  <si>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</si>
  <si>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</si>
  <si>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</si>
  <si>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</si>
  <si>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</si>
  <si>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</si>
  <si>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</si>
  <si>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</si>
  <si>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</si>
  <si>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</si>
  <si>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</si>
  <si>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</si>
  <si>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</si>
  <si>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</si>
  <si>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</si>
  <si>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</si>
  <si>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</si>
  <si>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</si>
  <si>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</si>
  <si>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</si>
  <si>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</si>
  <si>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</si>
  <si>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</si>
  <si>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</si>
  <si>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</si>
  <si>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</si>
  <si>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</si>
  <si>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</si>
  <si>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</si>
  <si>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</si>
  <si>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</si>
  <si>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</si>
  <si>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</si>
  <si>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</si>
  <si>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</si>
  <si>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</si>
  <si>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</si>
  <si>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</si>
  <si>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</si>
  <si>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</si>
  <si>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</si>
  <si>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</si>
  <si>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</si>
  <si>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</si>
  <si>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</si>
  <si>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</si>
  <si>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</si>
  <si>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</si>
  <si>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</si>
  <si>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</si>
  <si>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</si>
  <si>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</si>
  <si>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</si>
  <si>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</si>
  <si>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</si>
  <si>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</si>
  <si>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</si>
  <si>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</si>
  <si>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</si>
  <si>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</si>
  <si>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</si>
  <si>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</si>
  <si>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</si>
  <si>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</si>
  <si>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</si>
  <si>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</si>
  <si>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</si>
  <si>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</si>
  <si>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</si>
  <si>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</si>
  <si>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</si>
  <si>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</si>
  <si>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</si>
  <si>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</si>
  <si>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</si>
  <si>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</si>
  <si>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</si>
  <si>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</si>
  <si>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</si>
  <si>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</si>
  <si>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</si>
  <si>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</si>
  <si>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</si>
  <si>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</si>
  <si>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</si>
  <si>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</si>
  <si>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</si>
  <si>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</si>
  <si>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</si>
  <si>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</si>
  <si>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</si>
  <si>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</si>
  <si>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</si>
  <si>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</si>
  <si>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</si>
  <si>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</si>
  <si>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</si>
  <si>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</si>
  <si>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</si>
  <si>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</si>
  <si>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</si>
  <si>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</si>
  <si>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</si>
  <si>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</si>
  <si>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</si>
  <si>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</si>
  <si>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</si>
  <si>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</si>
  <si>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</si>
  <si>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</si>
  <si>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</si>
  <si>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</si>
  <si>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</si>
  <si>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</si>
  <si>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</si>
  <si>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</si>
  <si>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</si>
  <si>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</si>
  <si>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</si>
  <si>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</si>
  <si>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</si>
  <si>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</si>
  <si>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</si>
  <si>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</si>
  <si>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</si>
  <si>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</si>
  <si>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</si>
  <si>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</si>
  <si>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</si>
  <si>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</si>
  <si>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</si>
  <si>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</si>
  <si>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</si>
  <si>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</si>
  <si>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</si>
  <si>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</si>
  <si>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</si>
  <si>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</si>
  <si>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</si>
  <si>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</si>
  <si>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</si>
  <si>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</si>
  <si>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</si>
  <si>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</si>
  <si>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</si>
  <si>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</si>
  <si>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</si>
  <si>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</si>
  <si>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</si>
  <si>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</si>
  <si>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</si>
  <si>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</si>
  <si>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</si>
  <si>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</si>
  <si>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</si>
  <si>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</si>
  <si>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</si>
  <si>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</si>
  <si>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</si>
  <si>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</si>
  <si>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</si>
  <si>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</si>
  <si>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</si>
  <si>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</si>
  <si>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</si>
  <si>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</si>
  <si>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</si>
  <si>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</si>
  <si>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</si>
  <si>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</si>
  <si>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</si>
  <si>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</si>
  <si>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</si>
  <si>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</si>
  <si>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</si>
  <si>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</si>
  <si>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</si>
  <si>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</si>
  <si>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</si>
  <si>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</si>
  <si>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</si>
  <si>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</si>
  <si>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</si>
  <si>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</si>
  <si>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</si>
  <si>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</si>
  <si>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</si>
  <si>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</si>
  <si>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</si>
  <si>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</si>
  <si>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</si>
  <si>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</si>
  <si>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</si>
  <si>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</si>
  <si>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</si>
  <si>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</si>
  <si>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</si>
  <si>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</si>
  <si>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</si>
  <si>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</si>
  <si>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</si>
  <si>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</si>
  <si>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</si>
  <si>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</si>
  <si>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</si>
  <si>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</si>
  <si>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</si>
  <si>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</si>
  <si>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</si>
  <si>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</si>
  <si>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</si>
  <si>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</si>
  <si>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</si>
  <si>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</si>
  <si>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</si>
  <si>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</si>
  <si>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</si>
  <si>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</si>
  <si>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</si>
  <si>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</si>
  <si>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</si>
  <si>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</si>
  <si>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</si>
  <si>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</si>
  <si>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</si>
  <si>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</si>
  <si>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</si>
  <si>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</si>
  <si>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</si>
  <si>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</si>
  <si>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</si>
  <si>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</si>
  <si>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</si>
  <si>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</si>
  <si>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</si>
  <si>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</si>
  <si>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</si>
  <si>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</si>
  <si>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</si>
  <si>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</si>
  <si>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</si>
  <si>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</si>
  <si>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</si>
  <si>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</si>
  <si>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</si>
  <si>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</si>
  <si>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</si>
  <si>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</si>
  <si>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</si>
  <si>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</si>
  <si>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</si>
  <si>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</si>
  <si>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</si>
  <si>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</si>
  <si>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</si>
  <si>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</si>
  <si>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</si>
  <si>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</si>
  <si>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</si>
  <si>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</si>
  <si>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</si>
  <si>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</si>
  <si>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</si>
  <si>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</si>
  <si>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</si>
  <si>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</si>
  <si>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</si>
  <si>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</si>
  <si>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</si>
  <si>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</si>
  <si>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</si>
  <si>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</si>
  <si>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</si>
  <si>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</si>
  <si>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</si>
  <si>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</si>
  <si>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</si>
  <si>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</si>
  <si>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</si>
  <si>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</si>
  <si>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</si>
  <si>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</si>
  <si>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</si>
  <si>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</si>
  <si>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</si>
  <si>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</si>
  <si>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</si>
  <si>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</si>
  <si>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</si>
  <si>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</si>
  <si>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</si>
  <si>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</si>
  <si>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</si>
  <si>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</si>
  <si>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</si>
  <si>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</si>
  <si>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</si>
  <si>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</si>
  <si>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</si>
  <si>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</si>
  <si>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</si>
  <si>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</si>
  <si>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</si>
  <si>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</si>
  <si>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</si>
  <si>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</si>
  <si>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</si>
  <si>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</si>
  <si>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</si>
  <si>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</si>
  <si>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</si>
  <si>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</si>
  <si>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</si>
  <si>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</si>
  <si>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</si>
  <si>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</si>
  <si>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</si>
  <si>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</si>
  <si>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</si>
  <si>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</si>
  <si>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</si>
  <si>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</si>
  <si>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</si>
  <si>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</si>
  <si>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</si>
  <si>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</si>
  <si>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</si>
  <si>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</si>
  <si>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</si>
  <si>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</si>
  <si>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</si>
  <si>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</si>
  <si>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</si>
  <si>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</si>
  <si>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</si>
  <si>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</si>
  <si>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</si>
  <si>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</si>
  <si>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</si>
  <si>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</si>
  <si>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</si>
  <si>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</si>
  <si>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</si>
  <si>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</si>
  <si>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</si>
  <si>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</si>
  <si>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</si>
  <si>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</si>
  <si>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</si>
  <si>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</si>
  <si>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</si>
  <si>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</si>
  <si>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</si>
  <si>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</si>
  <si>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</si>
  <si>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</si>
  <si>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</si>
  <si>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</si>
  <si>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</si>
  <si>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</si>
  <si>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</si>
  <si>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</si>
  <si>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</si>
  <si>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</si>
  <si>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</si>
  <si>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</si>
  <si>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</si>
  <si>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</si>
  <si>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</si>
  <si>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</si>
  <si>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</si>
  <si>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</si>
  <si>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</si>
  <si>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</si>
  <si>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</si>
  <si>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</si>
  <si>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</si>
  <si>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</si>
  <si>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</si>
  <si>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</si>
  <si>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</si>
  <si>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</si>
  <si>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</si>
  <si>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</si>
  <si>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</si>
  <si>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</si>
  <si>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</si>
  <si>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</si>
  <si>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</si>
  <si>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</si>
  <si>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</si>
  <si>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</si>
  <si>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</si>
  <si>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</si>
  <si>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</si>
  <si>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</si>
  <si>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</si>
  <si>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</si>
  <si>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</si>
  <si>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</si>
  <si>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</si>
  <si>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</si>
  <si>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</si>
  <si>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</si>
  <si>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</si>
  <si>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</si>
  <si>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</si>
  <si>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</si>
  <si>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</si>
  <si>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</si>
  <si>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</si>
  <si>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</si>
  <si>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</si>
  <si>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</si>
  <si>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</si>
  <si>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</si>
  <si>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</si>
  <si>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</si>
  <si>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</si>
  <si>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</si>
  <si>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</si>
  <si>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</si>
  <si>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</si>
  <si>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</si>
  <si>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</si>
  <si>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</si>
  <si>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</si>
  <si>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</si>
  <si>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</si>
  <si>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</si>
  <si>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</si>
  <si>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</si>
  <si>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</si>
  <si>
    <t>MDR fee(INR)</t>
  </si>
  <si>
    <t>Fee%</t>
  </si>
  <si>
    <t>NetBanking</t>
  </si>
  <si>
    <t>merchant_status_tag</t>
  </si>
  <si>
    <t>Row Labels</t>
  </si>
  <si>
    <t>Grand Total</t>
  </si>
  <si>
    <t>Column Labels</t>
  </si>
  <si>
    <t>Count of transaction_id</t>
  </si>
  <si>
    <t>Total Count of transaction_id</t>
  </si>
  <si>
    <t>Total Sum of amount_inr</t>
  </si>
  <si>
    <t>Sum of amount_inr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</si>
</sst>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0" borderId="0" xfId="0" applyNumberFormat="1"/>
    <xf numFmtId="1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10" fontId="0" fillId="3" borderId="2" xfId="0" applyNumberFormat="1" applyFont="1" applyFill="1" applyBorder="1"/>
    <xf numFmtId="10" fontId="0" fillId="3" borderId="3" xfId="0" applyNumberFormat="1" applyFont="1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ika" refreshedDate="46247.985624189816" createdVersion="8" refreshedVersion="8" minRefreshableVersion="3" recordCount="547" xr:uid="{6DA3F32E-108D-44D1-8647-C7EEAC83DB43}">
  <cacheSource type="worksheet">
    <worksheetSource ref="A1:M548" sheet="transactions"/>
  </cacheSource>
  <cacheFields count="13">
    <cacheField name="transaction_id" numFmtId="0">
      <sharedItems/>
    </cacheField>
    <cacheField name="user_id" numFmtId="0">
      <sharedItems containsSemiMixedTypes="0" containsString="0" containsNumber="1" containsInteger="1" minValue="1" maxValue="365"/>
    </cacheField>
    <cacheField name="merchant_id" numFmtId="0">
      <sharedItems containsSemiMixedTypes="0" containsString="0" containsNumber="1" containsInteger="1" minValue="1" maxValue="40" count="40">
        <n v="16"/>
        <n v="27"/>
        <n v="11"/>
        <n v="22"/>
        <n v="3"/>
        <n v="23"/>
        <n v="13"/>
        <n v="18"/>
        <n v="35"/>
        <n v="12"/>
        <n v="28"/>
        <n v="33"/>
        <n v="40"/>
        <n v="19"/>
        <n v="25"/>
        <n v="20"/>
        <n v="14"/>
        <n v="21"/>
        <n v="6"/>
        <n v="15"/>
        <n v="31"/>
        <n v="37"/>
        <n v="26"/>
        <n v="7"/>
        <n v="30"/>
        <n v="36"/>
        <n v="29"/>
        <n v="2"/>
        <n v="17"/>
        <n v="4"/>
        <n v="8"/>
        <n v="24"/>
        <n v="5"/>
        <n v="32"/>
        <n v="10"/>
        <n v="38"/>
        <n v="34"/>
        <n v="1"/>
        <n v="39"/>
        <n v="9"/>
      </sharedItems>
    </cacheField>
    <cacheField name="merchant_name" numFmtId="0">
      <sharedItems/>
    </cacheField>
    <cacheField name="category" numFmtId="0">
      <sharedItems count="7">
        <s v="bill_payment"/>
        <s v="ecommerce"/>
        <s v="travel"/>
        <s v="grocery"/>
        <s v="recharge"/>
        <s v="entertainment"/>
        <s v="food_delivery"/>
      </sharedItems>
    </cacheField>
    <cacheField name="region" numFmtId="0">
      <sharedItems/>
    </cacheField>
    <cacheField name="transaction_time" numFmtId="22">
      <sharedItems containsSemiMixedTypes="0" containsNonDate="0" containsDate="1" containsString="0" minDate="2026-01-01T02:14:00" maxDate="2026-01-30T23:17:00"/>
    </cacheField>
    <cacheField name="amount_inr" numFmtId="0">
      <sharedItems containsSemiMixedTypes="0" containsString="0" containsNumber="1" containsInteger="1" minValue="49" maxValue="4999"/>
    </cacheField>
    <cacheField name="payment_method" numFmtId="0">
      <sharedItems/>
    </cacheField>
    <cacheField name="status" numFmtId="0">
      <sharedItems count="3">
        <s v="captured"/>
        <s v="failed"/>
        <s v="chargeback"/>
      </sharedItems>
    </cacheField>
    <cacheField name="risk_score" numFmtId="0">
      <sharedItems containsSemiMixedTypes="0" containsString="0" containsNumber="1" containsInteger="1" minValue="0" maxValue="100"/>
    </cacheField>
    <cacheField name="MDR fee(INR)" numFmtId="0">
      <sharedItems containsSemiMixedTypes="0" containsString="0" containsNumber="1" minValue="0" maxValue="89.981999999999999"/>
    </cacheField>
    <cacheField name="merchant_status_t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">
  <r>
    <s v="TXN100000"/>
    <n v="350"/>
    <x v="0"/>
    <s v="Merchant_016"/>
    <x v="0"/>
    <s v="West"/>
    <d v="2026-01-29T11:13:00"/>
    <n v="2999"/>
    <s v="Wallet"/>
    <x v="0"/>
    <n v="85"/>
    <n v="32.988999999999997"/>
    <s v="Standard"/>
  </r>
  <r>
    <s v="TXN100001"/>
    <n v="287"/>
    <x v="1"/>
    <s v="Merchant_027"/>
    <x v="1"/>
    <s v="North"/>
    <d v="2026-01-04T11:49:00"/>
    <n v="49"/>
    <s v="UPI"/>
    <x v="0"/>
    <n v="79"/>
    <n v="0"/>
    <s v="Standard"/>
  </r>
  <r>
    <s v="TXN100002"/>
    <n v="122"/>
    <x v="2"/>
    <s v="Merchant_011"/>
    <x v="1"/>
    <s v="North"/>
    <d v="2026-01-24T04:59:00"/>
    <n v="1499"/>
    <s v="Wallet"/>
    <x v="0"/>
    <n v="22"/>
    <n v="16.489000000000001"/>
    <s v="Standard"/>
  </r>
  <r>
    <s v="TXN100003"/>
    <n v="92"/>
    <x v="3"/>
    <s v="Merchant_022"/>
    <x v="2"/>
    <s v="South"/>
    <d v="2026-01-29T13:01:00"/>
    <n v="49"/>
    <s v="Netbanking"/>
    <x v="0"/>
    <n v="100"/>
    <n v="0.73499999999999999"/>
    <s v="Standard"/>
  </r>
  <r>
    <s v="TXN100004"/>
    <n v="343"/>
    <x v="0"/>
    <s v="Merchant_016"/>
    <x v="0"/>
    <s v="West"/>
    <d v="2026-01-30T13:51:00"/>
    <n v="99"/>
    <s v="UPI"/>
    <x v="0"/>
    <n v="34"/>
    <n v="0"/>
    <s v="Standard"/>
  </r>
  <r>
    <s v="TXN100005"/>
    <n v="196"/>
    <x v="4"/>
    <s v="Merchant_003"/>
    <x v="3"/>
    <s v="East"/>
    <d v="2026-01-06T22:06:00"/>
    <n v="99"/>
    <s v="UPI"/>
    <x v="0"/>
    <n v="60"/>
    <n v="0"/>
    <s v="Standard"/>
  </r>
  <r>
    <s v="TXN100006"/>
    <n v="236"/>
    <x v="5"/>
    <s v="Merchant_023"/>
    <x v="2"/>
    <s v="North"/>
    <d v="2026-01-08T06:52:00"/>
    <n v="99"/>
    <s v="Wallet"/>
    <x v="0"/>
    <n v="39"/>
    <n v="1.089"/>
    <s v="Standard"/>
  </r>
  <r>
    <s v="TXN100007"/>
    <n v="13"/>
    <x v="6"/>
    <s v="Merchant_013"/>
    <x v="2"/>
    <s v="East"/>
    <d v="2026-01-27T07:14:00"/>
    <n v="99"/>
    <s v="UPI"/>
    <x v="0"/>
    <n v="51"/>
    <n v="0"/>
    <s v="Standard"/>
  </r>
  <r>
    <s v="TXN100008"/>
    <n v="36"/>
    <x v="7"/>
    <s v="Merchant_018"/>
    <x v="3"/>
    <s v="West"/>
    <d v="2026-01-11T08:55:00"/>
    <n v="799"/>
    <s v="UPI"/>
    <x v="0"/>
    <n v="44"/>
    <n v="0"/>
    <s v="Standard"/>
  </r>
  <r>
    <s v="TXN100009"/>
    <n v="348"/>
    <x v="8"/>
    <s v="Merchant_035"/>
    <x v="4"/>
    <s v="East"/>
    <d v="2026-01-21T16:25:00"/>
    <n v="299"/>
    <s v="UPI"/>
    <x v="0"/>
    <n v="42"/>
    <n v="0"/>
    <s v="Standard"/>
  </r>
  <r>
    <s v="TXN100010"/>
    <n v="134"/>
    <x v="9"/>
    <s v="Merchant_012"/>
    <x v="1"/>
    <s v="East"/>
    <d v="2026-01-01T03:56:00"/>
    <n v="49"/>
    <s v="UPI"/>
    <x v="0"/>
    <n v="74"/>
    <n v="0"/>
    <s v="Standard"/>
  </r>
  <r>
    <s v="TXN100011"/>
    <n v="306"/>
    <x v="10"/>
    <s v="Merchant_028"/>
    <x v="1"/>
    <s v="South"/>
    <d v="2026-01-09T01:06:00"/>
    <n v="2999"/>
    <s v="Card"/>
    <x v="1"/>
    <n v="44"/>
    <n v="53.981999999999999"/>
    <s v="Standard"/>
  </r>
  <r>
    <s v="TXN100012"/>
    <n v="311"/>
    <x v="11"/>
    <s v="Merchant_033"/>
    <x v="0"/>
    <s v="East"/>
    <d v="2026-01-24T10:27:00"/>
    <n v="49"/>
    <s v="Wallet"/>
    <x v="0"/>
    <n v="14"/>
    <n v="0.53899999999999992"/>
    <s v="Standard"/>
  </r>
  <r>
    <s v="TXN100013"/>
    <n v="131"/>
    <x v="4"/>
    <s v="Merchant_003"/>
    <x v="3"/>
    <s v="East"/>
    <d v="2026-01-13T18:12:00"/>
    <n v="49"/>
    <s v="UPI"/>
    <x v="0"/>
    <n v="90"/>
    <n v="0"/>
    <s v="Standard"/>
  </r>
  <r>
    <s v="TXN100014"/>
    <n v="276"/>
    <x v="6"/>
    <s v="Merchant_013"/>
    <x v="2"/>
    <s v="East"/>
    <d v="2026-01-14T00:33:00"/>
    <n v="1499"/>
    <s v="UPI"/>
    <x v="0"/>
    <n v="46"/>
    <n v="0"/>
    <s v="Standard"/>
  </r>
  <r>
    <s v="TXN100015"/>
    <n v="170"/>
    <x v="12"/>
    <s v="Merchant_040"/>
    <x v="5"/>
    <s v="South"/>
    <d v="2026-01-14T02:42:00"/>
    <n v="99"/>
    <s v="UPI"/>
    <x v="0"/>
    <n v="40"/>
    <n v="0"/>
    <s v="Standard"/>
  </r>
  <r>
    <s v="TXN100016"/>
    <n v="154"/>
    <x v="11"/>
    <s v="Merchant_033"/>
    <x v="0"/>
    <s v="East"/>
    <d v="2026-01-22T03:46:00"/>
    <n v="99"/>
    <s v="Netbanking"/>
    <x v="0"/>
    <n v="39"/>
    <n v="1.4849999999999999"/>
    <s v="Standard"/>
  </r>
  <r>
    <s v="TXN100017"/>
    <n v="207"/>
    <x v="13"/>
    <s v="Merchant_019"/>
    <x v="3"/>
    <s v="North"/>
    <d v="2026-01-22T13:20:00"/>
    <n v="2999"/>
    <s v="Card"/>
    <x v="0"/>
    <n v="70"/>
    <n v="53.981999999999999"/>
    <s v="Standard"/>
  </r>
  <r>
    <s v="TXN100018"/>
    <n v="341"/>
    <x v="14"/>
    <s v="Merchant_025"/>
    <x v="2"/>
    <s v="South"/>
    <d v="2026-01-05T06:26:00"/>
    <n v="2999"/>
    <s v="UPI"/>
    <x v="0"/>
    <n v="86"/>
    <n v="0"/>
    <s v="Standard"/>
  </r>
  <r>
    <s v="TXN100019"/>
    <n v="292"/>
    <x v="15"/>
    <s v="Merchant_020"/>
    <x v="6"/>
    <s v="East"/>
    <d v="2026-01-24T05:39:00"/>
    <n v="49"/>
    <s v="UPI"/>
    <x v="0"/>
    <n v="51"/>
    <n v="0"/>
    <s v="Standard"/>
  </r>
  <r>
    <s v="TXN100020"/>
    <n v="147"/>
    <x v="16"/>
    <s v="Merchant_014"/>
    <x v="3"/>
    <s v="East"/>
    <d v="2026-01-18T00:19:00"/>
    <n v="99"/>
    <s v="Card"/>
    <x v="0"/>
    <n v="55"/>
    <n v="1.7819999999999998"/>
    <s v="Standard"/>
  </r>
  <r>
    <s v="TXN100021"/>
    <n v="336"/>
    <x v="17"/>
    <s v="Merchant_021"/>
    <x v="6"/>
    <s v="East"/>
    <d v="2026-01-26T18:38:00"/>
    <n v="99"/>
    <s v="UPI"/>
    <x v="0"/>
    <n v="59"/>
    <n v="0"/>
    <s v="Standard"/>
  </r>
  <r>
    <s v="TXN100022"/>
    <n v="110"/>
    <x v="11"/>
    <s v="Merchant_033"/>
    <x v="0"/>
    <s v="East"/>
    <d v="2026-01-15T14:43:00"/>
    <n v="799"/>
    <s v="UPI"/>
    <x v="0"/>
    <n v="60"/>
    <n v="0"/>
    <s v="Standard"/>
  </r>
  <r>
    <s v="TXN100023"/>
    <n v="338"/>
    <x v="18"/>
    <s v="Merchant_006"/>
    <x v="6"/>
    <s v="South"/>
    <d v="2026-01-26T23:10:00"/>
    <n v="799"/>
    <s v="UPI"/>
    <x v="2"/>
    <n v="36"/>
    <n v="0"/>
    <s v="Standard"/>
  </r>
  <r>
    <s v="TXN100024"/>
    <n v="318"/>
    <x v="3"/>
    <s v="Merchant_022"/>
    <x v="2"/>
    <s v="South"/>
    <d v="2026-01-17T21:40:00"/>
    <n v="799"/>
    <s v="Wallet"/>
    <x v="0"/>
    <n v="11"/>
    <n v="8.7889999999999997"/>
    <s v="Standard"/>
  </r>
  <r>
    <s v="TXN100025"/>
    <n v="159"/>
    <x v="19"/>
    <s v="Merchant_015"/>
    <x v="2"/>
    <s v="North"/>
    <d v="2026-01-27T07:43:00"/>
    <n v="799"/>
    <s v="UPI"/>
    <x v="0"/>
    <n v="25"/>
    <n v="0"/>
    <s v="Standard"/>
  </r>
  <r>
    <s v="TXN100026"/>
    <n v="126"/>
    <x v="20"/>
    <s v="Merchant_031"/>
    <x v="0"/>
    <s v="East"/>
    <d v="2026-01-05T00:02:00"/>
    <n v="49"/>
    <s v="Card"/>
    <x v="0"/>
    <n v="78"/>
    <n v="0.8819999999999999"/>
    <s v="Standard"/>
  </r>
  <r>
    <s v="TXN100027"/>
    <n v="213"/>
    <x v="21"/>
    <s v="Merchant_037"/>
    <x v="5"/>
    <s v="South"/>
    <d v="2026-01-28T02:29:00"/>
    <n v="99"/>
    <s v="UPI"/>
    <x v="0"/>
    <n v="24"/>
    <n v="0"/>
    <s v="Standard"/>
  </r>
  <r>
    <s v="TXN100028"/>
    <n v="254"/>
    <x v="22"/>
    <s v="Merchant_026"/>
    <x v="6"/>
    <s v="East"/>
    <d v="2026-01-23T22:24:00"/>
    <n v="99"/>
    <s v="Wallet"/>
    <x v="0"/>
    <n v="31"/>
    <n v="1.089"/>
    <s v="Standard"/>
  </r>
  <r>
    <s v="TXN100029"/>
    <n v="3"/>
    <x v="23"/>
    <s v="Merchant_007"/>
    <x v="6"/>
    <s v="East"/>
    <d v="2026-01-05T20:44:00"/>
    <n v="1499"/>
    <s v="UPI"/>
    <x v="0"/>
    <n v="99"/>
    <n v="0"/>
    <s v="Standard"/>
  </r>
  <r>
    <s v="TXN100030"/>
    <n v="266"/>
    <x v="24"/>
    <s v="Merchant_030"/>
    <x v="2"/>
    <s v="West"/>
    <d v="2026-01-14T07:11:00"/>
    <n v="499"/>
    <s v="Card"/>
    <x v="0"/>
    <n v="6"/>
    <n v="8.9819999999999993"/>
    <s v="Standard"/>
  </r>
  <r>
    <s v="TXN100031"/>
    <n v="63"/>
    <x v="24"/>
    <s v="Merchant_030"/>
    <x v="2"/>
    <s v="West"/>
    <d v="2026-01-18T07:58:00"/>
    <n v="799"/>
    <s v="UPI"/>
    <x v="0"/>
    <n v="17"/>
    <n v="0"/>
    <s v="Standard"/>
  </r>
  <r>
    <s v="TXN100032"/>
    <n v="272"/>
    <x v="25"/>
    <s v="Merchant_036"/>
    <x v="5"/>
    <s v="East"/>
    <d v="2026-01-26T14:42:00"/>
    <n v="149"/>
    <s v="UPI"/>
    <x v="0"/>
    <n v="76"/>
    <n v="0"/>
    <s v="Standard"/>
  </r>
  <r>
    <s v="TXN100033"/>
    <n v="259"/>
    <x v="10"/>
    <s v="Merchant_028"/>
    <x v="1"/>
    <s v="South"/>
    <d v="2026-01-11T14:39:00"/>
    <n v="49"/>
    <s v="Wallet"/>
    <x v="0"/>
    <n v="70"/>
    <n v="0.53899999999999992"/>
    <s v="Standard"/>
  </r>
  <r>
    <s v="TXN100034"/>
    <n v="244"/>
    <x v="26"/>
    <s v="Merchant_029"/>
    <x v="1"/>
    <s v="North"/>
    <d v="2026-01-15T05:47:00"/>
    <n v="299"/>
    <s v="Netbanking"/>
    <x v="0"/>
    <n v="33"/>
    <n v="4.4849999999999994"/>
    <s v="Standard"/>
  </r>
  <r>
    <s v="TXN100035"/>
    <n v="327"/>
    <x v="7"/>
    <s v="Merchant_018"/>
    <x v="3"/>
    <s v="West"/>
    <d v="2026-01-25T07:53:00"/>
    <n v="149"/>
    <s v="Card"/>
    <x v="0"/>
    <n v="98"/>
    <n v="2.6819999999999999"/>
    <s v="Standard"/>
  </r>
  <r>
    <s v="TXN100036"/>
    <n v="321"/>
    <x v="0"/>
    <s v="Merchant_016"/>
    <x v="0"/>
    <s v="West"/>
    <d v="2026-01-25T16:31:00"/>
    <n v="49"/>
    <s v="UPI"/>
    <x v="0"/>
    <n v="35"/>
    <n v="0"/>
    <s v="Standard"/>
  </r>
  <r>
    <s v="TXN100037"/>
    <n v="147"/>
    <x v="0"/>
    <s v="Merchant_016"/>
    <x v="0"/>
    <s v="West"/>
    <d v="2026-01-15T02:45:00"/>
    <n v="2999"/>
    <s v="Card"/>
    <x v="0"/>
    <n v="34"/>
    <n v="53.981999999999999"/>
    <s v="Standard"/>
  </r>
  <r>
    <s v="TXN100038"/>
    <n v="277"/>
    <x v="18"/>
    <s v="Merchant_006"/>
    <x v="6"/>
    <s v="South"/>
    <d v="2026-01-11T10:57:00"/>
    <n v="1499"/>
    <s v="Card"/>
    <x v="0"/>
    <n v="17"/>
    <n v="26.981999999999999"/>
    <s v="Standard"/>
  </r>
  <r>
    <s v="TXN100039"/>
    <n v="79"/>
    <x v="16"/>
    <s v="Merchant_014"/>
    <x v="3"/>
    <s v="East"/>
    <d v="2026-01-05T07:24:00"/>
    <n v="1499"/>
    <s v="UPI"/>
    <x v="0"/>
    <n v="8"/>
    <n v="0"/>
    <s v="Standard"/>
  </r>
  <r>
    <s v="TXN100040"/>
    <n v="278"/>
    <x v="24"/>
    <s v="Merchant_030"/>
    <x v="2"/>
    <s v="West"/>
    <d v="2026-01-14T13:21:00"/>
    <n v="1499"/>
    <s v="UPI"/>
    <x v="0"/>
    <n v="53"/>
    <n v="0"/>
    <s v="Standard"/>
  </r>
  <r>
    <s v="TXN100041"/>
    <n v="216"/>
    <x v="14"/>
    <s v="Merchant_025"/>
    <x v="2"/>
    <s v="South"/>
    <d v="2026-01-02T06:53:00"/>
    <n v="99"/>
    <s v="UPI"/>
    <x v="0"/>
    <n v="98"/>
    <n v="0"/>
    <s v="Standard"/>
  </r>
  <r>
    <s v="TXN100042"/>
    <n v="295"/>
    <x v="14"/>
    <s v="Merchant_025"/>
    <x v="2"/>
    <s v="South"/>
    <d v="2026-01-19T22:01:00"/>
    <n v="1499"/>
    <s v="UPI"/>
    <x v="0"/>
    <n v="61"/>
    <n v="0"/>
    <s v="Standard"/>
  </r>
  <r>
    <s v="TXN100043"/>
    <n v="200"/>
    <x v="1"/>
    <s v="Merchant_027"/>
    <x v="1"/>
    <s v="North"/>
    <d v="2026-01-01T11:19:00"/>
    <n v="149"/>
    <s v="UPI"/>
    <x v="0"/>
    <n v="68"/>
    <n v="0"/>
    <s v="Standard"/>
  </r>
  <r>
    <s v="TXN100044"/>
    <n v="309"/>
    <x v="19"/>
    <s v="Merchant_015"/>
    <x v="2"/>
    <s v="North"/>
    <d v="2026-01-24T23:34:00"/>
    <n v="99"/>
    <s v="Netbanking"/>
    <x v="0"/>
    <n v="62"/>
    <n v="1.4849999999999999"/>
    <s v="Standard"/>
  </r>
  <r>
    <s v="TXN100045"/>
    <n v="249"/>
    <x v="27"/>
    <s v="Merchant_002"/>
    <x v="3"/>
    <s v="West"/>
    <d v="2026-01-08T08:27:00"/>
    <n v="299"/>
    <s v="Wallet"/>
    <x v="0"/>
    <n v="49"/>
    <n v="3.2889999999999997"/>
    <s v="Standard"/>
  </r>
  <r>
    <s v="TXN100046"/>
    <n v="208"/>
    <x v="2"/>
    <s v="Merchant_011"/>
    <x v="1"/>
    <s v="North"/>
    <d v="2026-01-11T21:43:00"/>
    <n v="4999"/>
    <s v="Netbanking"/>
    <x v="0"/>
    <n v="59"/>
    <n v="74.984999999999999"/>
    <s v="Standard"/>
  </r>
  <r>
    <s v="TXN100047"/>
    <n v="274"/>
    <x v="27"/>
    <s v="Merchant_002"/>
    <x v="3"/>
    <s v="West"/>
    <d v="2026-01-30T04:39:00"/>
    <n v="299"/>
    <s v="UPI"/>
    <x v="0"/>
    <n v="50"/>
    <n v="0"/>
    <s v="Standard"/>
  </r>
  <r>
    <s v="TXN100048"/>
    <n v="14"/>
    <x v="18"/>
    <s v="Merchant_006"/>
    <x v="6"/>
    <s v="South"/>
    <d v="2026-01-19T18:42:00"/>
    <n v="49"/>
    <s v="Wallet"/>
    <x v="0"/>
    <n v="82"/>
    <n v="0.53899999999999992"/>
    <s v="Standard"/>
  </r>
  <r>
    <s v="TXN100049"/>
    <n v="237"/>
    <x v="9"/>
    <s v="Merchant_012"/>
    <x v="1"/>
    <s v="East"/>
    <d v="2026-01-14T04:55:00"/>
    <n v="49"/>
    <s v="UPI"/>
    <x v="0"/>
    <n v="6"/>
    <n v="0"/>
    <s v="Standard"/>
  </r>
  <r>
    <s v="TXN100050"/>
    <n v="109"/>
    <x v="24"/>
    <s v="Merchant_030"/>
    <x v="2"/>
    <s v="West"/>
    <d v="2026-01-09T12:20:00"/>
    <n v="99"/>
    <s v="UPI"/>
    <x v="0"/>
    <n v="41"/>
    <n v="0"/>
    <s v="Standard"/>
  </r>
  <r>
    <s v="TXN100051"/>
    <n v="216"/>
    <x v="28"/>
    <s v="Merchant_017"/>
    <x v="3"/>
    <s v="North"/>
    <d v="2026-01-11T12:17:00"/>
    <n v="4999"/>
    <s v="UPI"/>
    <x v="0"/>
    <n v="10"/>
    <n v="0"/>
    <s v="Standard"/>
  </r>
  <r>
    <s v="TXN100052"/>
    <n v="277"/>
    <x v="29"/>
    <s v="Merchant_004"/>
    <x v="1"/>
    <s v="East"/>
    <d v="2026-01-16T00:47:00"/>
    <n v="799"/>
    <s v="UPI"/>
    <x v="0"/>
    <n v="44"/>
    <n v="0"/>
    <s v="Standard"/>
  </r>
  <r>
    <s v="TXN100053"/>
    <n v="334"/>
    <x v="4"/>
    <s v="Merchant_003"/>
    <x v="3"/>
    <s v="East"/>
    <d v="2026-01-08T20:04:00"/>
    <n v="149"/>
    <s v="Wallet"/>
    <x v="0"/>
    <n v="96"/>
    <n v="1.639"/>
    <s v="Standard"/>
  </r>
  <r>
    <s v="TXN100054"/>
    <n v="11"/>
    <x v="12"/>
    <s v="Merchant_040"/>
    <x v="5"/>
    <s v="South"/>
    <d v="2026-01-01T07:12:00"/>
    <n v="299"/>
    <s v="UPI"/>
    <x v="0"/>
    <n v="19"/>
    <n v="0"/>
    <s v="Standard"/>
  </r>
  <r>
    <s v="TXN100055"/>
    <n v="343"/>
    <x v="30"/>
    <s v="Merchant_008"/>
    <x v="6"/>
    <s v="North"/>
    <d v="2026-01-08T04:30:00"/>
    <n v="99"/>
    <s v="UPI"/>
    <x v="0"/>
    <n v="72"/>
    <n v="0"/>
    <s v="Standard"/>
  </r>
  <r>
    <s v="TXN100056"/>
    <n v="132"/>
    <x v="31"/>
    <s v="Merchant_024"/>
    <x v="3"/>
    <s v="North"/>
    <d v="2026-01-07T14:44:00"/>
    <n v="299"/>
    <s v="Wallet"/>
    <x v="0"/>
    <n v="21"/>
    <n v="3.2889999999999997"/>
    <s v="Standard"/>
  </r>
  <r>
    <s v="TXN100057"/>
    <n v="59"/>
    <x v="2"/>
    <s v="Merchant_011"/>
    <x v="1"/>
    <s v="North"/>
    <d v="2026-01-20T19:47:00"/>
    <n v="299"/>
    <s v="UPI"/>
    <x v="0"/>
    <n v="39"/>
    <n v="0"/>
    <s v="Standard"/>
  </r>
  <r>
    <s v="TXN100058"/>
    <n v="160"/>
    <x v="21"/>
    <s v="Merchant_037"/>
    <x v="5"/>
    <s v="South"/>
    <d v="2026-01-04T18:01:00"/>
    <n v="49"/>
    <s v="Wallet"/>
    <x v="0"/>
    <n v="86"/>
    <n v="0.53899999999999992"/>
    <s v="Standard"/>
  </r>
  <r>
    <s v="TXN100059"/>
    <n v="102"/>
    <x v="32"/>
    <s v="Merchant_005"/>
    <x v="4"/>
    <s v="South"/>
    <d v="2026-01-30T12:25:00"/>
    <n v="2999"/>
    <s v="UPI"/>
    <x v="0"/>
    <n v="75"/>
    <n v="0"/>
    <s v="Standard"/>
  </r>
  <r>
    <s v="TXN100060"/>
    <n v="53"/>
    <x v="15"/>
    <s v="Merchant_020"/>
    <x v="6"/>
    <s v="East"/>
    <d v="2026-01-23T20:15:00"/>
    <n v="49"/>
    <s v="Netbanking"/>
    <x v="0"/>
    <n v="87"/>
    <n v="0.73499999999999999"/>
    <s v="Standard"/>
  </r>
  <r>
    <s v="TXN100061"/>
    <n v="290"/>
    <x v="4"/>
    <s v="Merchant_003"/>
    <x v="3"/>
    <s v="East"/>
    <d v="2026-01-20T03:50:00"/>
    <n v="99"/>
    <s v="Wallet"/>
    <x v="0"/>
    <n v="44"/>
    <n v="1.089"/>
    <s v="Standard"/>
  </r>
  <r>
    <s v="TXN100062"/>
    <n v="190"/>
    <x v="32"/>
    <s v="Merchant_005"/>
    <x v="4"/>
    <s v="South"/>
    <d v="2026-01-18T13:42:00"/>
    <n v="299"/>
    <s v="UPI"/>
    <x v="0"/>
    <n v="64"/>
    <n v="0"/>
    <s v="Standard"/>
  </r>
  <r>
    <s v="TXN100063"/>
    <n v="216"/>
    <x v="33"/>
    <s v="Merchant_032"/>
    <x v="6"/>
    <s v="West"/>
    <d v="2026-01-21T10:00:00"/>
    <n v="49"/>
    <s v="Card"/>
    <x v="0"/>
    <n v="13"/>
    <n v="0.8819999999999999"/>
    <s v="Standard"/>
  </r>
  <r>
    <s v="TXN100064"/>
    <n v="236"/>
    <x v="34"/>
    <s v="Merchant_010"/>
    <x v="3"/>
    <s v="West"/>
    <d v="2026-01-14T11:40:00"/>
    <n v="499"/>
    <s v="UPI"/>
    <x v="0"/>
    <n v="55"/>
    <n v="0"/>
    <s v="Standard"/>
  </r>
  <r>
    <s v="TXN100065"/>
    <n v="334"/>
    <x v="7"/>
    <s v="Merchant_018"/>
    <x v="3"/>
    <s v="West"/>
    <d v="2026-01-06T23:33:00"/>
    <n v="499"/>
    <s v="Card"/>
    <x v="0"/>
    <n v="78"/>
    <n v="8.9819999999999993"/>
    <s v="Standard"/>
  </r>
  <r>
    <s v="TXN100066"/>
    <n v="248"/>
    <x v="24"/>
    <s v="Merchant_030"/>
    <x v="2"/>
    <s v="West"/>
    <d v="2026-01-26T17:49:00"/>
    <n v="799"/>
    <s v="Wallet"/>
    <x v="0"/>
    <n v="55"/>
    <n v="8.7889999999999997"/>
    <s v="Standard"/>
  </r>
  <r>
    <s v="TXN100067"/>
    <n v="138"/>
    <x v="17"/>
    <s v="Merchant_021"/>
    <x v="6"/>
    <s v="East"/>
    <d v="2026-01-27T23:37:00"/>
    <n v="49"/>
    <s v="Card"/>
    <x v="0"/>
    <n v="31"/>
    <n v="0.8819999999999999"/>
    <s v="Standard"/>
  </r>
  <r>
    <s v="TXN100068"/>
    <n v="231"/>
    <x v="0"/>
    <s v="Merchant_016"/>
    <x v="0"/>
    <s v="West"/>
    <d v="2026-01-27T02:17:00"/>
    <n v="49"/>
    <s v="UPI"/>
    <x v="0"/>
    <n v="96"/>
    <n v="0"/>
    <s v="Standard"/>
  </r>
  <r>
    <s v="TXN100069"/>
    <n v="343"/>
    <x v="14"/>
    <s v="Merchant_025"/>
    <x v="2"/>
    <s v="South"/>
    <d v="2026-01-15T18:39:00"/>
    <n v="49"/>
    <s v="UPI"/>
    <x v="0"/>
    <n v="43"/>
    <n v="0"/>
    <s v="Standard"/>
  </r>
  <r>
    <s v="TXN100070"/>
    <n v="167"/>
    <x v="9"/>
    <s v="Merchant_012"/>
    <x v="1"/>
    <s v="East"/>
    <d v="2026-01-01T15:54:00"/>
    <n v="499"/>
    <s v="Wallet"/>
    <x v="0"/>
    <n v="62"/>
    <n v="5.4889999999999999"/>
    <s v="Standard"/>
  </r>
  <r>
    <s v="TXN100071"/>
    <n v="133"/>
    <x v="3"/>
    <s v="Merchant_022"/>
    <x v="2"/>
    <s v="South"/>
    <d v="2026-01-07T11:51:00"/>
    <n v="499"/>
    <s v="UPI"/>
    <x v="0"/>
    <n v="35"/>
    <n v="0"/>
    <s v="Standard"/>
  </r>
  <r>
    <s v="TXN100072"/>
    <n v="142"/>
    <x v="25"/>
    <s v="Merchant_036"/>
    <x v="5"/>
    <s v="East"/>
    <d v="2026-01-29T19:44:00"/>
    <n v="799"/>
    <s v="Wallet"/>
    <x v="0"/>
    <n v="1"/>
    <n v="8.7889999999999997"/>
    <s v="Standard"/>
  </r>
  <r>
    <s v="TXN100073"/>
    <n v="124"/>
    <x v="1"/>
    <s v="Merchant_027"/>
    <x v="1"/>
    <s v="North"/>
    <d v="2026-01-17T06:05:00"/>
    <n v="499"/>
    <s v="Wallet"/>
    <x v="0"/>
    <n v="62"/>
    <n v="5.4889999999999999"/>
    <s v="Standard"/>
  </r>
  <r>
    <s v="TXN100074"/>
    <n v="244"/>
    <x v="33"/>
    <s v="Merchant_032"/>
    <x v="6"/>
    <s v="West"/>
    <d v="2026-01-18T07:44:00"/>
    <n v="149"/>
    <s v="UPI"/>
    <x v="0"/>
    <n v="57"/>
    <n v="0"/>
    <s v="Standard"/>
  </r>
  <r>
    <s v="TXN100075"/>
    <n v="151"/>
    <x v="19"/>
    <s v="Merchant_015"/>
    <x v="2"/>
    <s v="North"/>
    <d v="2026-01-26T00:05:00"/>
    <n v="4999"/>
    <s v="UPI"/>
    <x v="0"/>
    <n v="51"/>
    <n v="0"/>
    <s v="Standard"/>
  </r>
  <r>
    <s v="TXN100076"/>
    <n v="340"/>
    <x v="35"/>
    <s v="Merchant_038"/>
    <x v="3"/>
    <s v="East"/>
    <d v="2026-01-23T07:19:00"/>
    <n v="499"/>
    <s v="Card"/>
    <x v="0"/>
    <n v="47"/>
    <n v="8.9819999999999993"/>
    <s v="Standard"/>
  </r>
  <r>
    <s v="TXN100077"/>
    <n v="177"/>
    <x v="10"/>
    <s v="Merchant_028"/>
    <x v="1"/>
    <s v="South"/>
    <d v="2026-01-16T17:33:00"/>
    <n v="299"/>
    <s v="UPI"/>
    <x v="0"/>
    <n v="95"/>
    <n v="0"/>
    <s v="Standard"/>
  </r>
  <r>
    <s v="TXN100078"/>
    <n v="233"/>
    <x v="7"/>
    <s v="Merchant_018"/>
    <x v="3"/>
    <s v="West"/>
    <d v="2026-01-18T10:22:00"/>
    <n v="499"/>
    <s v="UPI"/>
    <x v="0"/>
    <n v="39"/>
    <n v="0"/>
    <s v="Standard"/>
  </r>
  <r>
    <s v="TXN100079"/>
    <n v="99"/>
    <x v="17"/>
    <s v="Merchant_021"/>
    <x v="6"/>
    <s v="East"/>
    <d v="2026-01-09T07:07:00"/>
    <n v="499"/>
    <s v="UPI"/>
    <x v="0"/>
    <n v="15"/>
    <n v="0"/>
    <s v="Standard"/>
  </r>
  <r>
    <s v="TXN100080"/>
    <n v="95"/>
    <x v="6"/>
    <s v="Merchant_013"/>
    <x v="2"/>
    <s v="East"/>
    <d v="2026-01-24T17:48:00"/>
    <n v="2999"/>
    <s v="Netbanking"/>
    <x v="1"/>
    <n v="27"/>
    <n v="44.984999999999999"/>
    <s v="Standard"/>
  </r>
  <r>
    <s v="TXN100081"/>
    <n v="302"/>
    <x v="36"/>
    <s v="Merchant_034"/>
    <x v="2"/>
    <s v="South"/>
    <d v="2026-01-24T15:17:00"/>
    <n v="49"/>
    <s v="Netbanking"/>
    <x v="0"/>
    <n v="76"/>
    <n v="0.73499999999999999"/>
    <s v="Standard"/>
  </r>
  <r>
    <s v="TXN100082"/>
    <n v="100"/>
    <x v="13"/>
    <s v="Merchant_019"/>
    <x v="3"/>
    <s v="North"/>
    <d v="2026-01-10T03:53:00"/>
    <n v="2999"/>
    <s v="Netbanking"/>
    <x v="0"/>
    <n v="29"/>
    <n v="44.984999999999999"/>
    <s v="Standard"/>
  </r>
  <r>
    <s v="TXN100083"/>
    <n v="8"/>
    <x v="8"/>
    <s v="Merchant_035"/>
    <x v="4"/>
    <s v="East"/>
    <d v="2026-01-12T05:19:00"/>
    <n v="99"/>
    <s v="UPI"/>
    <x v="0"/>
    <n v="16"/>
    <n v="0"/>
    <s v="Standard"/>
  </r>
  <r>
    <s v="TXN100084"/>
    <n v="284"/>
    <x v="13"/>
    <s v="Merchant_019"/>
    <x v="3"/>
    <s v="North"/>
    <d v="2026-01-09T01:03:00"/>
    <n v="99"/>
    <s v="UPI"/>
    <x v="0"/>
    <n v="89"/>
    <n v="0"/>
    <s v="Standard"/>
  </r>
  <r>
    <s v="TXN100085"/>
    <n v="252"/>
    <x v="23"/>
    <s v="Merchant_007"/>
    <x v="6"/>
    <s v="East"/>
    <d v="2026-01-05T20:55:00"/>
    <n v="2999"/>
    <s v="Wallet"/>
    <x v="0"/>
    <n v="1"/>
    <n v="32.988999999999997"/>
    <s v="Standard"/>
  </r>
  <r>
    <s v="TXN100086"/>
    <n v="246"/>
    <x v="26"/>
    <s v="Merchant_029"/>
    <x v="1"/>
    <s v="North"/>
    <d v="2026-01-19T09:30:00"/>
    <n v="49"/>
    <s v="Wallet"/>
    <x v="0"/>
    <n v="43"/>
    <n v="0.53899999999999992"/>
    <s v="Standard"/>
  </r>
  <r>
    <s v="TXN100087"/>
    <n v="245"/>
    <x v="30"/>
    <s v="Merchant_008"/>
    <x v="6"/>
    <s v="North"/>
    <d v="2026-01-06T01:16:00"/>
    <n v="49"/>
    <s v="UPI"/>
    <x v="2"/>
    <n v="8"/>
    <n v="0"/>
    <s v="Standard"/>
  </r>
  <r>
    <s v="TXN100088"/>
    <n v="296"/>
    <x v="29"/>
    <s v="Merchant_004"/>
    <x v="1"/>
    <s v="East"/>
    <d v="2026-01-13T15:04:00"/>
    <n v="799"/>
    <s v="Wallet"/>
    <x v="0"/>
    <n v="19"/>
    <n v="8.7889999999999997"/>
    <s v="Standard"/>
  </r>
  <r>
    <s v="TXN100089"/>
    <n v="44"/>
    <x v="0"/>
    <s v="Merchant_016"/>
    <x v="0"/>
    <s v="West"/>
    <d v="2026-01-05T18:19:00"/>
    <n v="149"/>
    <s v="UPI"/>
    <x v="0"/>
    <n v="15"/>
    <n v="0"/>
    <s v="Standard"/>
  </r>
  <r>
    <s v="TXN100090"/>
    <n v="306"/>
    <x v="12"/>
    <s v="Merchant_040"/>
    <x v="5"/>
    <s v="South"/>
    <d v="2026-01-18T13:38:00"/>
    <n v="799"/>
    <s v="Card"/>
    <x v="0"/>
    <n v="28"/>
    <n v="14.382"/>
    <s v="Standard"/>
  </r>
  <r>
    <s v="TXN100091"/>
    <n v="231"/>
    <x v="26"/>
    <s v="Merchant_029"/>
    <x v="1"/>
    <s v="North"/>
    <d v="2026-01-25T16:24:00"/>
    <n v="299"/>
    <s v="UPI"/>
    <x v="0"/>
    <n v="38"/>
    <n v="0"/>
    <s v="Standard"/>
  </r>
  <r>
    <s v="TXN100092"/>
    <n v="157"/>
    <x v="21"/>
    <s v="Merchant_037"/>
    <x v="5"/>
    <s v="South"/>
    <d v="2026-01-28T18:27:00"/>
    <n v="499"/>
    <s v="Wallet"/>
    <x v="0"/>
    <n v="79"/>
    <n v="5.4889999999999999"/>
    <s v="Standard"/>
  </r>
  <r>
    <s v="TXN100093"/>
    <n v="51"/>
    <x v="16"/>
    <s v="Merchant_014"/>
    <x v="3"/>
    <s v="East"/>
    <d v="2026-01-02T19:47:00"/>
    <n v="1499"/>
    <s v="UPI"/>
    <x v="0"/>
    <n v="80"/>
    <n v="0"/>
    <s v="Standard"/>
  </r>
  <r>
    <s v="TXN100094"/>
    <n v="42"/>
    <x v="2"/>
    <s v="Merchant_011"/>
    <x v="1"/>
    <s v="North"/>
    <d v="2026-01-07T08:42:00"/>
    <n v="49"/>
    <s v="Wallet"/>
    <x v="0"/>
    <n v="30"/>
    <n v="0.53899999999999992"/>
    <s v="Standard"/>
  </r>
  <r>
    <s v="TXN100095"/>
    <n v="81"/>
    <x v="37"/>
    <s v="Merchant_001"/>
    <x v="1"/>
    <s v="South"/>
    <d v="2026-01-06T17:04:00"/>
    <n v="149"/>
    <s v="UPI"/>
    <x v="0"/>
    <n v="52"/>
    <n v="0"/>
    <s v="Standard"/>
  </r>
  <r>
    <s v="TXN100096"/>
    <n v="241"/>
    <x v="13"/>
    <s v="Merchant_019"/>
    <x v="3"/>
    <s v="North"/>
    <d v="2026-01-15T22:38:00"/>
    <n v="299"/>
    <s v="UPI"/>
    <x v="0"/>
    <n v="4"/>
    <n v="0"/>
    <s v="Standard"/>
  </r>
  <r>
    <s v="TXN100097"/>
    <n v="145"/>
    <x v="24"/>
    <s v="Merchant_030"/>
    <x v="2"/>
    <s v="West"/>
    <d v="2026-01-08T09:45:00"/>
    <n v="799"/>
    <s v="UPI"/>
    <x v="0"/>
    <n v="9"/>
    <n v="0"/>
    <s v="Standard"/>
  </r>
  <r>
    <s v="TXN100098"/>
    <n v="136"/>
    <x v="35"/>
    <s v="Merchant_038"/>
    <x v="3"/>
    <s v="East"/>
    <d v="2026-01-22T07:59:00"/>
    <n v="299"/>
    <s v="Card"/>
    <x v="0"/>
    <n v="84"/>
    <n v="5.3819999999999997"/>
    <s v="Standard"/>
  </r>
  <r>
    <s v="TXN100099"/>
    <n v="59"/>
    <x v="8"/>
    <s v="Merchant_035"/>
    <x v="4"/>
    <s v="East"/>
    <d v="2026-01-26T06:27:00"/>
    <n v="499"/>
    <s v="UPI"/>
    <x v="0"/>
    <n v="28"/>
    <n v="0"/>
    <s v="Standard"/>
  </r>
  <r>
    <s v="TXN100100"/>
    <n v="137"/>
    <x v="34"/>
    <s v="Merchant_010"/>
    <x v="3"/>
    <s v="West"/>
    <d v="2026-01-21T04:58:00"/>
    <n v="299"/>
    <s v="UPI"/>
    <x v="0"/>
    <n v="9"/>
    <n v="0"/>
    <s v="Standard"/>
  </r>
  <r>
    <s v="TXN100101"/>
    <n v="158"/>
    <x v="38"/>
    <s v="Merchant_039"/>
    <x v="5"/>
    <s v="North"/>
    <d v="2026-01-02T05:50:00"/>
    <n v="499"/>
    <s v="Netbanking"/>
    <x v="0"/>
    <n v="95"/>
    <n v="7.4849999999999994"/>
    <s v="Standard"/>
  </r>
  <r>
    <s v="TXN100102"/>
    <n v="148"/>
    <x v="26"/>
    <s v="Merchant_029"/>
    <x v="1"/>
    <s v="North"/>
    <d v="2026-01-27T18:58:00"/>
    <n v="99"/>
    <s v="Card"/>
    <x v="0"/>
    <n v="15"/>
    <n v="1.7819999999999998"/>
    <s v="Standard"/>
  </r>
  <r>
    <s v="TXN100103"/>
    <n v="207"/>
    <x v="7"/>
    <s v="Merchant_018"/>
    <x v="3"/>
    <s v="West"/>
    <d v="2026-01-15T22:19:00"/>
    <n v="149"/>
    <s v="UPI"/>
    <x v="0"/>
    <n v="64"/>
    <n v="0"/>
    <s v="Standard"/>
  </r>
  <r>
    <s v="TXN100104"/>
    <n v="42"/>
    <x v="38"/>
    <s v="Merchant_039"/>
    <x v="5"/>
    <s v="North"/>
    <d v="2026-01-18T15:28:00"/>
    <n v="2999"/>
    <s v="Card"/>
    <x v="0"/>
    <n v="5"/>
    <n v="53.981999999999999"/>
    <s v="Standard"/>
  </r>
  <r>
    <s v="TXN100105"/>
    <n v="166"/>
    <x v="38"/>
    <s v="Merchant_039"/>
    <x v="5"/>
    <s v="North"/>
    <d v="2026-01-29T13:47:00"/>
    <n v="149"/>
    <s v="UPI"/>
    <x v="0"/>
    <n v="32"/>
    <n v="0"/>
    <s v="Standard"/>
  </r>
  <r>
    <s v="TXN100106"/>
    <n v="346"/>
    <x v="21"/>
    <s v="Merchant_037"/>
    <x v="5"/>
    <s v="South"/>
    <d v="2026-01-01T02:14:00"/>
    <n v="99"/>
    <s v="UPI"/>
    <x v="0"/>
    <n v="75"/>
    <n v="0"/>
    <s v="Standard"/>
  </r>
  <r>
    <s v="TXN100107"/>
    <n v="138"/>
    <x v="21"/>
    <s v="Merchant_037"/>
    <x v="5"/>
    <s v="South"/>
    <d v="2026-01-01T21:52:00"/>
    <n v="499"/>
    <s v="UPI"/>
    <x v="0"/>
    <n v="5"/>
    <n v="0"/>
    <s v="Standard"/>
  </r>
  <r>
    <s v="TXN100108"/>
    <n v="266"/>
    <x v="26"/>
    <s v="Merchant_029"/>
    <x v="1"/>
    <s v="North"/>
    <d v="2026-01-25T05:30:00"/>
    <n v="499"/>
    <s v="Wallet"/>
    <x v="1"/>
    <n v="35"/>
    <n v="5.4889999999999999"/>
    <s v="Standard"/>
  </r>
  <r>
    <s v="TXN100109"/>
    <n v="326"/>
    <x v="33"/>
    <s v="Merchant_032"/>
    <x v="6"/>
    <s v="West"/>
    <d v="2026-01-06T18:27:00"/>
    <n v="149"/>
    <s v="UPI"/>
    <x v="0"/>
    <n v="11"/>
    <n v="0"/>
    <s v="Standard"/>
  </r>
  <r>
    <s v="TXN100110"/>
    <n v="171"/>
    <x v="17"/>
    <s v="Merchant_021"/>
    <x v="6"/>
    <s v="East"/>
    <d v="2026-01-16T11:26:00"/>
    <n v="799"/>
    <s v="UPI"/>
    <x v="0"/>
    <n v="85"/>
    <n v="0"/>
    <s v="Standard"/>
  </r>
  <r>
    <s v="TXN100111"/>
    <n v="211"/>
    <x v="33"/>
    <s v="Merchant_032"/>
    <x v="6"/>
    <s v="West"/>
    <d v="2026-01-04T05:21:00"/>
    <n v="49"/>
    <s v="UPI"/>
    <x v="0"/>
    <n v="36"/>
    <n v="0"/>
    <s v="Standard"/>
  </r>
  <r>
    <s v="TXN100112"/>
    <n v="282"/>
    <x v="4"/>
    <s v="Merchant_003"/>
    <x v="3"/>
    <s v="East"/>
    <d v="2026-01-22T12:52:00"/>
    <n v="499"/>
    <s v="UPI"/>
    <x v="0"/>
    <n v="58"/>
    <n v="0"/>
    <s v="Standard"/>
  </r>
  <r>
    <s v="TXN100113"/>
    <n v="166"/>
    <x v="30"/>
    <s v="Merchant_008"/>
    <x v="6"/>
    <s v="North"/>
    <d v="2026-01-03T10:16:00"/>
    <n v="299"/>
    <s v="UPI"/>
    <x v="0"/>
    <n v="98"/>
    <n v="0"/>
    <s v="Standard"/>
  </r>
  <r>
    <s v="TXN100114"/>
    <n v="1"/>
    <x v="8"/>
    <s v="Merchant_035"/>
    <x v="4"/>
    <s v="East"/>
    <d v="2026-01-13T16:52:00"/>
    <n v="149"/>
    <s v="UPI"/>
    <x v="0"/>
    <n v="59"/>
    <n v="0"/>
    <s v="Standard"/>
  </r>
  <r>
    <s v="TXN100115"/>
    <n v="266"/>
    <x v="31"/>
    <s v="Merchant_024"/>
    <x v="3"/>
    <s v="North"/>
    <d v="2026-01-14T01:12:00"/>
    <n v="499"/>
    <s v="UPI"/>
    <x v="0"/>
    <n v="79"/>
    <n v="0"/>
    <s v="Standard"/>
  </r>
  <r>
    <s v="TXN100116"/>
    <n v="227"/>
    <x v="29"/>
    <s v="Merchant_004"/>
    <x v="1"/>
    <s v="East"/>
    <d v="2026-01-25T15:40:00"/>
    <n v="499"/>
    <s v="UPI"/>
    <x v="0"/>
    <n v="26"/>
    <n v="0"/>
    <s v="Standard"/>
  </r>
  <r>
    <s v="TXN100117"/>
    <n v="148"/>
    <x v="26"/>
    <s v="Merchant_029"/>
    <x v="1"/>
    <s v="North"/>
    <d v="2026-01-09T17:08:00"/>
    <n v="499"/>
    <s v="UPI"/>
    <x v="0"/>
    <n v="89"/>
    <n v="0"/>
    <s v="Standard"/>
  </r>
  <r>
    <s v="TXN100118"/>
    <n v="323"/>
    <x v="38"/>
    <s v="Merchant_039"/>
    <x v="5"/>
    <s v="North"/>
    <d v="2026-01-16T03:01:00"/>
    <n v="499"/>
    <s v="UPI"/>
    <x v="0"/>
    <n v="30"/>
    <n v="0"/>
    <s v="Standard"/>
  </r>
  <r>
    <s v="TXN100119"/>
    <n v="283"/>
    <x v="37"/>
    <s v="Merchant_001"/>
    <x v="1"/>
    <s v="South"/>
    <d v="2026-01-23T05:19:00"/>
    <n v="2999"/>
    <s v="Wallet"/>
    <x v="0"/>
    <n v="70"/>
    <n v="32.988999999999997"/>
    <s v="Standard"/>
  </r>
  <r>
    <s v="TXN100120"/>
    <n v="59"/>
    <x v="24"/>
    <s v="Merchant_030"/>
    <x v="2"/>
    <s v="West"/>
    <d v="2026-01-14T02:14:00"/>
    <n v="499"/>
    <s v="UPI"/>
    <x v="0"/>
    <n v="15"/>
    <n v="0"/>
    <s v="Standard"/>
  </r>
  <r>
    <s v="TXN100121"/>
    <n v="150"/>
    <x v="11"/>
    <s v="Merchant_033"/>
    <x v="0"/>
    <s v="East"/>
    <d v="2026-01-21T04:31:00"/>
    <n v="2999"/>
    <s v="UPI"/>
    <x v="0"/>
    <n v="90"/>
    <n v="0"/>
    <s v="Standard"/>
  </r>
  <r>
    <s v="TXN100122"/>
    <n v="248"/>
    <x v="20"/>
    <s v="Merchant_031"/>
    <x v="0"/>
    <s v="East"/>
    <d v="2026-01-09T13:53:00"/>
    <n v="1499"/>
    <s v="UPI"/>
    <x v="1"/>
    <n v="31"/>
    <n v="0"/>
    <s v="Standard"/>
  </r>
  <r>
    <s v="TXN100123"/>
    <n v="197"/>
    <x v="6"/>
    <s v="Merchant_013"/>
    <x v="2"/>
    <s v="East"/>
    <d v="2026-01-15T17:09:00"/>
    <n v="49"/>
    <s v="UPI"/>
    <x v="0"/>
    <n v="76"/>
    <n v="0"/>
    <s v="Standard"/>
  </r>
  <r>
    <s v="TXN100124"/>
    <n v="70"/>
    <x v="32"/>
    <s v="Merchant_005"/>
    <x v="4"/>
    <s v="South"/>
    <d v="2026-01-17T23:56:00"/>
    <n v="499"/>
    <s v="UPI"/>
    <x v="0"/>
    <n v="35"/>
    <n v="0"/>
    <s v="Standard"/>
  </r>
  <r>
    <s v="TXN100125"/>
    <n v="260"/>
    <x v="7"/>
    <s v="Merchant_018"/>
    <x v="3"/>
    <s v="West"/>
    <d v="2026-01-25T13:21:00"/>
    <n v="1499"/>
    <s v="UPI"/>
    <x v="0"/>
    <n v="0"/>
    <n v="0"/>
    <s v="Standard"/>
  </r>
  <r>
    <s v="TXN100126"/>
    <n v="301"/>
    <x v="35"/>
    <s v="Merchant_038"/>
    <x v="3"/>
    <s v="East"/>
    <d v="2026-01-10T23:19:00"/>
    <n v="99"/>
    <s v="UPI"/>
    <x v="0"/>
    <n v="84"/>
    <n v="0"/>
    <s v="Standard"/>
  </r>
  <r>
    <s v="TXN100127"/>
    <n v="276"/>
    <x v="20"/>
    <s v="Merchant_031"/>
    <x v="0"/>
    <s v="East"/>
    <d v="2026-01-16T04:28:00"/>
    <n v="499"/>
    <s v="Card"/>
    <x v="0"/>
    <n v="44"/>
    <n v="8.9819999999999993"/>
    <s v="Standard"/>
  </r>
  <r>
    <s v="TXN100128"/>
    <n v="279"/>
    <x v="14"/>
    <s v="Merchant_025"/>
    <x v="2"/>
    <s v="South"/>
    <d v="2026-01-11T17:48:00"/>
    <n v="799"/>
    <s v="UPI"/>
    <x v="0"/>
    <n v="58"/>
    <n v="0"/>
    <s v="Standard"/>
  </r>
  <r>
    <s v="TXN100129"/>
    <n v="97"/>
    <x v="0"/>
    <s v="Merchant_016"/>
    <x v="0"/>
    <s v="West"/>
    <d v="2026-01-30T10:55:00"/>
    <n v="799"/>
    <s v="Card"/>
    <x v="0"/>
    <n v="73"/>
    <n v="14.382"/>
    <s v="Standard"/>
  </r>
  <r>
    <s v="TXN100130"/>
    <n v="211"/>
    <x v="4"/>
    <s v="Merchant_003"/>
    <x v="3"/>
    <s v="East"/>
    <d v="2026-01-13T07:54:00"/>
    <n v="149"/>
    <s v="UPI"/>
    <x v="2"/>
    <n v="40"/>
    <n v="0"/>
    <s v="Standard"/>
  </r>
  <r>
    <s v="TXN100131"/>
    <n v="196"/>
    <x v="14"/>
    <s v="Merchant_025"/>
    <x v="2"/>
    <s v="South"/>
    <d v="2026-01-24T15:45:00"/>
    <n v="149"/>
    <s v="Netbanking"/>
    <x v="0"/>
    <n v="84"/>
    <n v="2.2349999999999999"/>
    <s v="Standard"/>
  </r>
  <r>
    <s v="TXN100132"/>
    <n v="254"/>
    <x v="4"/>
    <s v="Merchant_003"/>
    <x v="3"/>
    <s v="East"/>
    <d v="2026-01-26T20:09:00"/>
    <n v="149"/>
    <s v="Card"/>
    <x v="0"/>
    <n v="16"/>
    <n v="2.6819999999999999"/>
    <s v="Standard"/>
  </r>
  <r>
    <s v="TXN100133"/>
    <n v="52"/>
    <x v="26"/>
    <s v="Merchant_029"/>
    <x v="1"/>
    <s v="North"/>
    <d v="2026-01-17T18:21:00"/>
    <n v="49"/>
    <s v="Netbanking"/>
    <x v="0"/>
    <n v="12"/>
    <n v="0.73499999999999999"/>
    <s v="Standard"/>
  </r>
  <r>
    <s v="TXN100134"/>
    <n v="74"/>
    <x v="1"/>
    <s v="Merchant_027"/>
    <x v="1"/>
    <s v="North"/>
    <d v="2026-01-17T14:00:00"/>
    <n v="799"/>
    <s v="UPI"/>
    <x v="0"/>
    <n v="83"/>
    <n v="0"/>
    <s v="Standard"/>
  </r>
  <r>
    <s v="TXN100135"/>
    <n v="136"/>
    <x v="3"/>
    <s v="Merchant_022"/>
    <x v="2"/>
    <s v="South"/>
    <d v="2026-01-05T02:30:00"/>
    <n v="149"/>
    <s v="UPI"/>
    <x v="0"/>
    <n v="79"/>
    <n v="0"/>
    <s v="Standard"/>
  </r>
  <r>
    <s v="TXN100136"/>
    <n v="42"/>
    <x v="3"/>
    <s v="Merchant_022"/>
    <x v="2"/>
    <s v="South"/>
    <d v="2026-01-23T12:41:00"/>
    <n v="49"/>
    <s v="UPI"/>
    <x v="0"/>
    <n v="86"/>
    <n v="0"/>
    <s v="Standard"/>
  </r>
  <r>
    <s v="TXN100137"/>
    <n v="163"/>
    <x v="33"/>
    <s v="Merchant_032"/>
    <x v="6"/>
    <s v="West"/>
    <d v="2026-01-28T17:24:00"/>
    <n v="2999"/>
    <s v="Wallet"/>
    <x v="1"/>
    <n v="69"/>
    <n v="32.988999999999997"/>
    <s v="Standard"/>
  </r>
  <r>
    <s v="TXN100138"/>
    <n v="121"/>
    <x v="13"/>
    <s v="Merchant_019"/>
    <x v="3"/>
    <s v="North"/>
    <d v="2026-01-02T19:04:00"/>
    <n v="149"/>
    <s v="UPI"/>
    <x v="0"/>
    <n v="29"/>
    <n v="0"/>
    <s v="Standard"/>
  </r>
  <r>
    <s v="TXN100139"/>
    <n v="51"/>
    <x v="23"/>
    <s v="Merchant_007"/>
    <x v="6"/>
    <s v="East"/>
    <d v="2026-01-24T02:27:00"/>
    <n v="499"/>
    <s v="Card"/>
    <x v="0"/>
    <n v="56"/>
    <n v="8.9819999999999993"/>
    <s v="Standard"/>
  </r>
  <r>
    <s v="TXN100140"/>
    <n v="15"/>
    <x v="4"/>
    <s v="Merchant_003"/>
    <x v="3"/>
    <s v="East"/>
    <d v="2026-01-06T22:19:00"/>
    <n v="799"/>
    <s v="UPI"/>
    <x v="0"/>
    <n v="41"/>
    <n v="0"/>
    <s v="Standard"/>
  </r>
  <r>
    <s v="TXN100141"/>
    <n v="184"/>
    <x v="31"/>
    <s v="Merchant_024"/>
    <x v="3"/>
    <s v="North"/>
    <d v="2026-01-26T01:18:00"/>
    <n v="49"/>
    <s v="UPI"/>
    <x v="0"/>
    <n v="55"/>
    <n v="0"/>
    <s v="Standard"/>
  </r>
  <r>
    <s v="TXN100142"/>
    <n v="211"/>
    <x v="21"/>
    <s v="Merchant_037"/>
    <x v="5"/>
    <s v="South"/>
    <d v="2026-01-05T07:33:00"/>
    <n v="1499"/>
    <s v="UPI"/>
    <x v="0"/>
    <n v="87"/>
    <n v="0"/>
    <s v="Standard"/>
  </r>
  <r>
    <s v="TXN100143"/>
    <n v="90"/>
    <x v="18"/>
    <s v="Merchant_006"/>
    <x v="6"/>
    <s v="South"/>
    <d v="2026-01-26T05:10:00"/>
    <n v="49"/>
    <s v="Card"/>
    <x v="0"/>
    <n v="78"/>
    <n v="0.8819999999999999"/>
    <s v="Standard"/>
  </r>
  <r>
    <s v="TXN100144"/>
    <n v="350"/>
    <x v="0"/>
    <s v="Merchant_016"/>
    <x v="0"/>
    <s v="West"/>
    <d v="2026-01-28T12:39:00"/>
    <n v="49"/>
    <s v="UPI"/>
    <x v="0"/>
    <n v="63"/>
    <n v="0"/>
    <s v="Standard"/>
  </r>
  <r>
    <s v="TXN100145"/>
    <n v="119"/>
    <x v="24"/>
    <s v="Merchant_030"/>
    <x v="2"/>
    <s v="West"/>
    <d v="2026-01-30T18:09:00"/>
    <n v="49"/>
    <s v="Card"/>
    <x v="0"/>
    <n v="81"/>
    <n v="0.8819999999999999"/>
    <s v="Standard"/>
  </r>
  <r>
    <s v="TXN100146"/>
    <n v="342"/>
    <x v="37"/>
    <s v="Merchant_001"/>
    <x v="1"/>
    <s v="South"/>
    <d v="2026-01-09T14:16:00"/>
    <n v="49"/>
    <s v="UPI"/>
    <x v="0"/>
    <n v="59"/>
    <n v="0"/>
    <s v="Standard"/>
  </r>
  <r>
    <s v="TXN100147"/>
    <n v="280"/>
    <x v="2"/>
    <s v="Merchant_011"/>
    <x v="1"/>
    <s v="North"/>
    <d v="2026-01-29T09:43:00"/>
    <n v="149"/>
    <s v="UPI"/>
    <x v="2"/>
    <n v="9"/>
    <n v="0"/>
    <s v="Standard"/>
  </r>
  <r>
    <s v="TXN100148"/>
    <n v="154"/>
    <x v="10"/>
    <s v="Merchant_028"/>
    <x v="1"/>
    <s v="South"/>
    <d v="2026-01-15T11:37:00"/>
    <n v="2999"/>
    <s v="Netbanking"/>
    <x v="0"/>
    <n v="88"/>
    <n v="44.984999999999999"/>
    <s v="Standard"/>
  </r>
  <r>
    <s v="TXN100149"/>
    <n v="155"/>
    <x v="6"/>
    <s v="Merchant_013"/>
    <x v="2"/>
    <s v="East"/>
    <d v="2026-01-09T14:54:00"/>
    <n v="149"/>
    <s v="UPI"/>
    <x v="0"/>
    <n v="49"/>
    <n v="0"/>
    <s v="Standard"/>
  </r>
  <r>
    <s v="TXN100150"/>
    <n v="122"/>
    <x v="14"/>
    <s v="Merchant_025"/>
    <x v="2"/>
    <s v="South"/>
    <d v="2026-01-28T15:06:00"/>
    <n v="299"/>
    <s v="UPI"/>
    <x v="0"/>
    <n v="73"/>
    <n v="0"/>
    <s v="Standard"/>
  </r>
  <r>
    <s v="TXN100151"/>
    <n v="152"/>
    <x v="27"/>
    <s v="Merchant_002"/>
    <x v="3"/>
    <s v="West"/>
    <d v="2026-01-12T18:18:00"/>
    <n v="49"/>
    <s v="UPI"/>
    <x v="0"/>
    <n v="84"/>
    <n v="0"/>
    <s v="Standard"/>
  </r>
  <r>
    <s v="TXN100152"/>
    <n v="290"/>
    <x v="29"/>
    <s v="Merchant_004"/>
    <x v="1"/>
    <s v="East"/>
    <d v="2026-01-13T08:00:00"/>
    <n v="149"/>
    <s v="UPI"/>
    <x v="0"/>
    <n v="77"/>
    <n v="0"/>
    <s v="Standard"/>
  </r>
  <r>
    <s v="TXN100153"/>
    <n v="147"/>
    <x v="19"/>
    <s v="Merchant_015"/>
    <x v="2"/>
    <s v="North"/>
    <d v="2026-01-24T15:53:00"/>
    <n v="49"/>
    <s v="Wallet"/>
    <x v="0"/>
    <n v="77"/>
    <n v="0.53899999999999992"/>
    <s v="Standard"/>
  </r>
  <r>
    <s v="TXN100154"/>
    <n v="326"/>
    <x v="6"/>
    <s v="Merchant_013"/>
    <x v="2"/>
    <s v="East"/>
    <d v="2026-01-26T11:14:00"/>
    <n v="299"/>
    <s v="Netbanking"/>
    <x v="0"/>
    <n v="79"/>
    <n v="4.4849999999999994"/>
    <s v="Standard"/>
  </r>
  <r>
    <s v="TXN100155"/>
    <n v="338"/>
    <x v="39"/>
    <s v="Merchant_009"/>
    <x v="1"/>
    <s v="North"/>
    <d v="2026-01-09T21:48:00"/>
    <n v="99"/>
    <s v="Card"/>
    <x v="0"/>
    <n v="80"/>
    <n v="1.7819999999999998"/>
    <s v="Standard"/>
  </r>
  <r>
    <s v="TXN100156"/>
    <n v="21"/>
    <x v="15"/>
    <s v="Merchant_020"/>
    <x v="6"/>
    <s v="East"/>
    <d v="2026-01-04T20:41:00"/>
    <n v="2999"/>
    <s v="UPI"/>
    <x v="0"/>
    <n v="100"/>
    <n v="0"/>
    <s v="Standard"/>
  </r>
  <r>
    <s v="TXN100157"/>
    <n v="187"/>
    <x v="39"/>
    <s v="Merchant_009"/>
    <x v="1"/>
    <s v="North"/>
    <d v="2026-01-15T01:37:00"/>
    <n v="49"/>
    <s v="Card"/>
    <x v="1"/>
    <n v="11"/>
    <n v="0.8819999999999999"/>
    <s v="Standard"/>
  </r>
  <r>
    <s v="TXN100158"/>
    <n v="213"/>
    <x v="9"/>
    <s v="Merchant_012"/>
    <x v="1"/>
    <s v="East"/>
    <d v="2026-01-30T09:20:00"/>
    <n v="4999"/>
    <s v="UPI"/>
    <x v="0"/>
    <n v="25"/>
    <n v="0"/>
    <s v="Standard"/>
  </r>
  <r>
    <s v="TXN100159"/>
    <n v="188"/>
    <x v="36"/>
    <s v="Merchant_034"/>
    <x v="2"/>
    <s v="South"/>
    <d v="2026-01-05T17:56:00"/>
    <n v="2999"/>
    <s v="UPI"/>
    <x v="0"/>
    <n v="64"/>
    <n v="0"/>
    <s v="Standard"/>
  </r>
  <r>
    <s v="TXN100160"/>
    <n v="85"/>
    <x v="28"/>
    <s v="Merchant_017"/>
    <x v="3"/>
    <s v="North"/>
    <d v="2026-01-30T08:53:00"/>
    <n v="499"/>
    <s v="UPI"/>
    <x v="0"/>
    <n v="61"/>
    <n v="0"/>
    <s v="Standard"/>
  </r>
  <r>
    <s v="TXN100161"/>
    <n v="174"/>
    <x v="30"/>
    <s v="Merchant_008"/>
    <x v="6"/>
    <s v="North"/>
    <d v="2026-01-26T09:47:00"/>
    <n v="299"/>
    <s v="Netbanking"/>
    <x v="0"/>
    <n v="59"/>
    <n v="4.4849999999999994"/>
    <s v="Standard"/>
  </r>
  <r>
    <s v="TXN100162"/>
    <n v="116"/>
    <x v="22"/>
    <s v="Merchant_026"/>
    <x v="6"/>
    <s v="East"/>
    <d v="2026-01-03T04:48:00"/>
    <n v="99"/>
    <s v="Netbanking"/>
    <x v="0"/>
    <n v="71"/>
    <n v="1.4849999999999999"/>
    <s v="Standard"/>
  </r>
  <r>
    <s v="TXN100163"/>
    <n v="203"/>
    <x v="37"/>
    <s v="Merchant_001"/>
    <x v="1"/>
    <s v="South"/>
    <d v="2026-01-12T02:50:00"/>
    <n v="149"/>
    <s v="Wallet"/>
    <x v="0"/>
    <n v="33"/>
    <n v="1.639"/>
    <s v="Standard"/>
  </r>
  <r>
    <s v="TXN100164"/>
    <n v="189"/>
    <x v="28"/>
    <s v="Merchant_017"/>
    <x v="3"/>
    <s v="North"/>
    <d v="2026-01-18T03:29:00"/>
    <n v="99"/>
    <s v="UPI"/>
    <x v="0"/>
    <n v="74"/>
    <n v="0"/>
    <s v="Standard"/>
  </r>
  <r>
    <s v="TXN100165"/>
    <n v="56"/>
    <x v="19"/>
    <s v="Merchant_015"/>
    <x v="2"/>
    <s v="North"/>
    <d v="2026-01-13T20:23:00"/>
    <n v="299"/>
    <s v="UPI"/>
    <x v="0"/>
    <n v="60"/>
    <n v="0"/>
    <s v="Standard"/>
  </r>
  <r>
    <s v="TXN100166"/>
    <n v="288"/>
    <x v="17"/>
    <s v="Merchant_021"/>
    <x v="6"/>
    <s v="East"/>
    <d v="2026-01-01T19:56:00"/>
    <n v="4999"/>
    <s v="Wallet"/>
    <x v="1"/>
    <n v="78"/>
    <n v="54.988999999999997"/>
    <s v="Standard"/>
  </r>
  <r>
    <s v="TXN100167"/>
    <n v="326"/>
    <x v="24"/>
    <s v="Merchant_030"/>
    <x v="2"/>
    <s v="West"/>
    <d v="2026-01-08T20:04:00"/>
    <n v="99"/>
    <s v="Card"/>
    <x v="0"/>
    <n v="89"/>
    <n v="1.7819999999999998"/>
    <s v="Standard"/>
  </r>
  <r>
    <s v="TXN100168"/>
    <n v="60"/>
    <x v="39"/>
    <s v="Merchant_009"/>
    <x v="1"/>
    <s v="North"/>
    <d v="2026-01-10T20:26:00"/>
    <n v="49"/>
    <s v="Netbanking"/>
    <x v="0"/>
    <n v="5"/>
    <n v="0.73499999999999999"/>
    <s v="Standard"/>
  </r>
  <r>
    <s v="TXN100169"/>
    <n v="60"/>
    <x v="23"/>
    <s v="Merchant_007"/>
    <x v="6"/>
    <s v="East"/>
    <d v="2026-01-02T09:31:00"/>
    <n v="2999"/>
    <s v="Wallet"/>
    <x v="0"/>
    <n v="30"/>
    <n v="32.988999999999997"/>
    <s v="Standard"/>
  </r>
  <r>
    <s v="TXN100170"/>
    <n v="199"/>
    <x v="24"/>
    <s v="Merchant_030"/>
    <x v="2"/>
    <s v="West"/>
    <d v="2026-01-29T17:08:00"/>
    <n v="149"/>
    <s v="Netbanking"/>
    <x v="0"/>
    <n v="47"/>
    <n v="2.2349999999999999"/>
    <s v="Standard"/>
  </r>
  <r>
    <s v="TXN100171"/>
    <n v="277"/>
    <x v="1"/>
    <s v="Merchant_027"/>
    <x v="1"/>
    <s v="North"/>
    <d v="2026-01-22T23:44:00"/>
    <n v="49"/>
    <s v="UPI"/>
    <x v="0"/>
    <n v="75"/>
    <n v="0"/>
    <s v="Standard"/>
  </r>
  <r>
    <s v="TXN100172"/>
    <n v="213"/>
    <x v="23"/>
    <s v="Merchant_007"/>
    <x v="6"/>
    <s v="East"/>
    <d v="2026-01-24T23:09:00"/>
    <n v="799"/>
    <s v="Netbanking"/>
    <x v="0"/>
    <n v="62"/>
    <n v="11.984999999999999"/>
    <s v="Standard"/>
  </r>
  <r>
    <s v="TXN100173"/>
    <n v="17"/>
    <x v="31"/>
    <s v="Merchant_024"/>
    <x v="3"/>
    <s v="North"/>
    <d v="2026-01-20T13:17:00"/>
    <n v="299"/>
    <s v="UPI"/>
    <x v="0"/>
    <n v="27"/>
    <n v="0"/>
    <s v="Standard"/>
  </r>
  <r>
    <s v="TXN100174"/>
    <n v="186"/>
    <x v="23"/>
    <s v="Merchant_007"/>
    <x v="6"/>
    <s v="East"/>
    <d v="2026-01-15T14:15:00"/>
    <n v="1499"/>
    <s v="Card"/>
    <x v="1"/>
    <n v="87"/>
    <n v="26.981999999999999"/>
    <s v="Standard"/>
  </r>
  <r>
    <s v="TXN100175"/>
    <n v="331"/>
    <x v="5"/>
    <s v="Merchant_023"/>
    <x v="2"/>
    <s v="North"/>
    <d v="2026-01-12T17:57:00"/>
    <n v="149"/>
    <s v="UPI"/>
    <x v="0"/>
    <n v="7"/>
    <n v="0"/>
    <s v="Standard"/>
  </r>
  <r>
    <s v="TXN100176"/>
    <n v="63"/>
    <x v="24"/>
    <s v="Merchant_030"/>
    <x v="2"/>
    <s v="West"/>
    <d v="2026-01-13T08:12:00"/>
    <n v="1499"/>
    <s v="Card"/>
    <x v="0"/>
    <n v="11"/>
    <n v="26.981999999999999"/>
    <s v="Standard"/>
  </r>
  <r>
    <s v="TXN100177"/>
    <n v="328"/>
    <x v="38"/>
    <s v="Merchant_039"/>
    <x v="5"/>
    <s v="North"/>
    <d v="2026-01-22T06:41:00"/>
    <n v="4999"/>
    <s v="Wallet"/>
    <x v="2"/>
    <n v="2"/>
    <n v="54.988999999999997"/>
    <s v="Standard"/>
  </r>
  <r>
    <s v="TXN100178"/>
    <n v="65"/>
    <x v="21"/>
    <s v="Merchant_037"/>
    <x v="5"/>
    <s v="South"/>
    <d v="2026-01-02T10:15:00"/>
    <n v="2999"/>
    <s v="Card"/>
    <x v="0"/>
    <n v="26"/>
    <n v="53.981999999999999"/>
    <s v="Standard"/>
  </r>
  <r>
    <s v="TXN100179"/>
    <n v="301"/>
    <x v="16"/>
    <s v="Merchant_014"/>
    <x v="3"/>
    <s v="East"/>
    <d v="2026-01-03T17:13:00"/>
    <n v="149"/>
    <s v="UPI"/>
    <x v="0"/>
    <n v="29"/>
    <n v="0"/>
    <s v="Standard"/>
  </r>
  <r>
    <s v="TXN100180"/>
    <n v="306"/>
    <x v="37"/>
    <s v="Merchant_001"/>
    <x v="1"/>
    <s v="South"/>
    <d v="2026-01-11T04:50:00"/>
    <n v="299"/>
    <s v="UPI"/>
    <x v="1"/>
    <n v="35"/>
    <n v="0"/>
    <s v="Standard"/>
  </r>
  <r>
    <s v="TXN100181"/>
    <n v="277"/>
    <x v="28"/>
    <s v="Merchant_017"/>
    <x v="3"/>
    <s v="North"/>
    <d v="2026-01-28T04:08:00"/>
    <n v="299"/>
    <s v="UPI"/>
    <x v="0"/>
    <n v="22"/>
    <n v="0"/>
    <s v="Standard"/>
  </r>
  <r>
    <s v="TXN100182"/>
    <n v="14"/>
    <x v="39"/>
    <s v="Merchant_009"/>
    <x v="1"/>
    <s v="North"/>
    <d v="2026-01-04T21:55:00"/>
    <n v="499"/>
    <s v="UPI"/>
    <x v="0"/>
    <n v="1"/>
    <n v="0"/>
    <s v="Standard"/>
  </r>
  <r>
    <s v="TXN100183"/>
    <n v="166"/>
    <x v="27"/>
    <s v="Merchant_002"/>
    <x v="3"/>
    <s v="West"/>
    <d v="2026-01-12T07:37:00"/>
    <n v="299"/>
    <s v="Card"/>
    <x v="0"/>
    <n v="22"/>
    <n v="5.3819999999999997"/>
    <s v="Standard"/>
  </r>
  <r>
    <s v="TXN100184"/>
    <n v="216"/>
    <x v="36"/>
    <s v="Merchant_034"/>
    <x v="2"/>
    <s v="South"/>
    <d v="2026-01-09T01:08:00"/>
    <n v="299"/>
    <s v="Card"/>
    <x v="0"/>
    <n v="14"/>
    <n v="5.3819999999999997"/>
    <s v="Standard"/>
  </r>
  <r>
    <s v="TXN100185"/>
    <n v="230"/>
    <x v="31"/>
    <s v="Merchant_024"/>
    <x v="3"/>
    <s v="North"/>
    <d v="2026-01-24T02:30:00"/>
    <n v="49"/>
    <s v="UPI"/>
    <x v="0"/>
    <n v="65"/>
    <n v="0"/>
    <s v="Standard"/>
  </r>
  <r>
    <s v="TXN100186"/>
    <n v="258"/>
    <x v="19"/>
    <s v="Merchant_015"/>
    <x v="2"/>
    <s v="North"/>
    <d v="2026-01-19T03:28:00"/>
    <n v="499"/>
    <s v="Wallet"/>
    <x v="0"/>
    <n v="78"/>
    <n v="5.4889999999999999"/>
    <s v="Standard"/>
  </r>
  <r>
    <s v="TXN100187"/>
    <n v="338"/>
    <x v="36"/>
    <s v="Merchant_034"/>
    <x v="2"/>
    <s v="South"/>
    <d v="2026-01-02T23:50:00"/>
    <n v="49"/>
    <s v="UPI"/>
    <x v="0"/>
    <n v="38"/>
    <n v="0"/>
    <s v="Standard"/>
  </r>
  <r>
    <s v="TXN100188"/>
    <n v="32"/>
    <x v="20"/>
    <s v="Merchant_031"/>
    <x v="0"/>
    <s v="East"/>
    <d v="2026-01-15T20:01:00"/>
    <n v="299"/>
    <s v="UPI"/>
    <x v="0"/>
    <n v="51"/>
    <n v="0"/>
    <s v="Standard"/>
  </r>
  <r>
    <s v="TXN100189"/>
    <n v="252"/>
    <x v="26"/>
    <s v="Merchant_029"/>
    <x v="1"/>
    <s v="North"/>
    <d v="2026-01-14T21:06:00"/>
    <n v="1499"/>
    <s v="UPI"/>
    <x v="0"/>
    <n v="9"/>
    <n v="0"/>
    <s v="Standard"/>
  </r>
  <r>
    <s v="TXN100190"/>
    <n v="312"/>
    <x v="34"/>
    <s v="Merchant_010"/>
    <x v="3"/>
    <s v="West"/>
    <d v="2026-01-29T02:20:00"/>
    <n v="799"/>
    <s v="UPI"/>
    <x v="0"/>
    <n v="8"/>
    <n v="0"/>
    <s v="Standard"/>
  </r>
  <r>
    <s v="TXN100191"/>
    <n v="325"/>
    <x v="35"/>
    <s v="Merchant_038"/>
    <x v="3"/>
    <s v="East"/>
    <d v="2026-01-05T08:39:00"/>
    <n v="1499"/>
    <s v="Netbanking"/>
    <x v="0"/>
    <n v="70"/>
    <n v="22.484999999999999"/>
    <s v="Standard"/>
  </r>
  <r>
    <s v="TXN100192"/>
    <n v="306"/>
    <x v="36"/>
    <s v="Merchant_034"/>
    <x v="2"/>
    <s v="South"/>
    <d v="2026-01-23T10:24:00"/>
    <n v="2999"/>
    <s v="UPI"/>
    <x v="0"/>
    <n v="37"/>
    <n v="0"/>
    <s v="Standard"/>
  </r>
  <r>
    <s v="TXN100193"/>
    <n v="221"/>
    <x v="23"/>
    <s v="Merchant_007"/>
    <x v="6"/>
    <s v="East"/>
    <d v="2026-01-15T16:38:00"/>
    <n v="149"/>
    <s v="Netbanking"/>
    <x v="0"/>
    <n v="89"/>
    <n v="2.2349999999999999"/>
    <s v="Standard"/>
  </r>
  <r>
    <s v="TXN100194"/>
    <n v="283"/>
    <x v="16"/>
    <s v="Merchant_014"/>
    <x v="3"/>
    <s v="East"/>
    <d v="2026-01-04T20:41:00"/>
    <n v="99"/>
    <s v="Wallet"/>
    <x v="0"/>
    <n v="55"/>
    <n v="1.089"/>
    <s v="Standard"/>
  </r>
  <r>
    <s v="TXN100195"/>
    <n v="174"/>
    <x v="24"/>
    <s v="Merchant_030"/>
    <x v="2"/>
    <s v="West"/>
    <d v="2026-01-15T07:26:00"/>
    <n v="49"/>
    <s v="UPI"/>
    <x v="0"/>
    <n v="51"/>
    <n v="0"/>
    <s v="Standard"/>
  </r>
  <r>
    <s v="TXN100196"/>
    <n v="161"/>
    <x v="10"/>
    <s v="Merchant_028"/>
    <x v="1"/>
    <s v="South"/>
    <d v="2026-01-14T23:06:00"/>
    <n v="49"/>
    <s v="UPI"/>
    <x v="0"/>
    <n v="40"/>
    <n v="0"/>
    <s v="Standard"/>
  </r>
  <r>
    <s v="TXN100197"/>
    <n v="79"/>
    <x v="20"/>
    <s v="Merchant_031"/>
    <x v="0"/>
    <s v="East"/>
    <d v="2026-01-22T08:23:00"/>
    <n v="99"/>
    <s v="UPI"/>
    <x v="0"/>
    <n v="8"/>
    <n v="0"/>
    <s v="Standard"/>
  </r>
  <r>
    <s v="TXN100198"/>
    <n v="222"/>
    <x v="23"/>
    <s v="Merchant_007"/>
    <x v="6"/>
    <s v="East"/>
    <d v="2026-01-03T02:05:00"/>
    <n v="149"/>
    <s v="Wallet"/>
    <x v="0"/>
    <n v="95"/>
    <n v="1.639"/>
    <s v="Standard"/>
  </r>
  <r>
    <s v="TXN100199"/>
    <n v="67"/>
    <x v="25"/>
    <s v="Merchant_036"/>
    <x v="5"/>
    <s v="East"/>
    <d v="2026-01-24T11:51:00"/>
    <n v="99"/>
    <s v="UPI"/>
    <x v="0"/>
    <n v="7"/>
    <n v="0"/>
    <s v="Standard"/>
  </r>
  <r>
    <s v="TXN100200"/>
    <n v="169"/>
    <x v="30"/>
    <s v="Merchant_008"/>
    <x v="6"/>
    <s v="North"/>
    <d v="2026-01-19T17:35:00"/>
    <n v="99"/>
    <s v="UPI"/>
    <x v="0"/>
    <n v="52"/>
    <n v="0"/>
    <s v="Standard"/>
  </r>
  <r>
    <s v="TXN100201"/>
    <n v="217"/>
    <x v="29"/>
    <s v="Merchant_004"/>
    <x v="1"/>
    <s v="East"/>
    <d v="2026-01-12T21:48:00"/>
    <n v="49"/>
    <s v="UPI"/>
    <x v="0"/>
    <n v="36"/>
    <n v="0"/>
    <s v="Standard"/>
  </r>
  <r>
    <s v="TXN100202"/>
    <n v="54"/>
    <x v="21"/>
    <s v="Merchant_037"/>
    <x v="5"/>
    <s v="South"/>
    <d v="2026-01-20T09:22:00"/>
    <n v="149"/>
    <s v="UPI"/>
    <x v="0"/>
    <n v="64"/>
    <n v="0"/>
    <s v="Standard"/>
  </r>
  <r>
    <s v="TXN100203"/>
    <n v="247"/>
    <x v="19"/>
    <s v="Merchant_015"/>
    <x v="2"/>
    <s v="North"/>
    <d v="2026-01-07T04:42:00"/>
    <n v="49"/>
    <s v="Card"/>
    <x v="0"/>
    <n v="13"/>
    <n v="0.8819999999999999"/>
    <s v="Standard"/>
  </r>
  <r>
    <s v="TXN100204"/>
    <n v="59"/>
    <x v="7"/>
    <s v="Merchant_018"/>
    <x v="3"/>
    <s v="West"/>
    <d v="2026-01-12T17:23:00"/>
    <n v="49"/>
    <s v="Card"/>
    <x v="0"/>
    <n v="73"/>
    <n v="0.8819999999999999"/>
    <s v="Standard"/>
  </r>
  <r>
    <s v="TXN100205"/>
    <n v="288"/>
    <x v="12"/>
    <s v="Merchant_040"/>
    <x v="5"/>
    <s v="South"/>
    <d v="2026-01-08T13:54:00"/>
    <n v="49"/>
    <s v="UPI"/>
    <x v="1"/>
    <n v="78"/>
    <n v="0"/>
    <s v="Standard"/>
  </r>
  <r>
    <s v="TXN100206"/>
    <n v="14"/>
    <x v="38"/>
    <s v="Merchant_039"/>
    <x v="5"/>
    <s v="North"/>
    <d v="2026-01-22T20:35:00"/>
    <n v="799"/>
    <s v="UPI"/>
    <x v="0"/>
    <n v="84"/>
    <n v="0"/>
    <s v="Standard"/>
  </r>
  <r>
    <s v="TXN100207"/>
    <n v="15"/>
    <x v="9"/>
    <s v="Merchant_012"/>
    <x v="1"/>
    <s v="East"/>
    <d v="2026-01-27T22:17:00"/>
    <n v="149"/>
    <s v="UPI"/>
    <x v="0"/>
    <n v="34"/>
    <n v="0"/>
    <s v="Standard"/>
  </r>
  <r>
    <s v="TXN100208"/>
    <n v="174"/>
    <x v="5"/>
    <s v="Merchant_023"/>
    <x v="2"/>
    <s v="North"/>
    <d v="2026-01-23T09:58:00"/>
    <n v="149"/>
    <s v="UPI"/>
    <x v="0"/>
    <n v="0"/>
    <n v="0"/>
    <s v="Standard"/>
  </r>
  <r>
    <s v="TXN100209"/>
    <n v="337"/>
    <x v="22"/>
    <s v="Merchant_026"/>
    <x v="6"/>
    <s v="East"/>
    <d v="2026-01-06T04:36:00"/>
    <n v="49"/>
    <s v="UPI"/>
    <x v="0"/>
    <n v="8"/>
    <n v="0"/>
    <s v="Standard"/>
  </r>
  <r>
    <s v="TXN100210"/>
    <n v="16"/>
    <x v="18"/>
    <s v="Merchant_006"/>
    <x v="6"/>
    <s v="South"/>
    <d v="2026-01-05T23:40:00"/>
    <n v="1499"/>
    <s v="UPI"/>
    <x v="0"/>
    <n v="95"/>
    <n v="0"/>
    <s v="Standard"/>
  </r>
  <r>
    <s v="TXN100211"/>
    <n v="215"/>
    <x v="24"/>
    <s v="Merchant_030"/>
    <x v="2"/>
    <s v="West"/>
    <d v="2026-01-17T06:24:00"/>
    <n v="49"/>
    <s v="UPI"/>
    <x v="0"/>
    <n v="43"/>
    <n v="0"/>
    <s v="Standard"/>
  </r>
  <r>
    <s v="TXN100212"/>
    <n v="167"/>
    <x v="21"/>
    <s v="Merchant_037"/>
    <x v="5"/>
    <s v="South"/>
    <d v="2026-01-06T11:19:00"/>
    <n v="99"/>
    <s v="UPI"/>
    <x v="0"/>
    <n v="76"/>
    <n v="0"/>
    <s v="Standard"/>
  </r>
  <r>
    <s v="TXN100213"/>
    <n v="81"/>
    <x v="12"/>
    <s v="Merchant_040"/>
    <x v="5"/>
    <s v="South"/>
    <d v="2026-01-03T01:09:00"/>
    <n v="49"/>
    <s v="UPI"/>
    <x v="0"/>
    <n v="6"/>
    <n v="0"/>
    <s v="Standard"/>
  </r>
  <r>
    <s v="TXN100214"/>
    <n v="227"/>
    <x v="10"/>
    <s v="Merchant_028"/>
    <x v="1"/>
    <s v="South"/>
    <d v="2026-01-22T02:17:00"/>
    <n v="99"/>
    <s v="UPI"/>
    <x v="0"/>
    <n v="62"/>
    <n v="0"/>
    <s v="Standard"/>
  </r>
  <r>
    <s v="TXN100215"/>
    <n v="140"/>
    <x v="16"/>
    <s v="Merchant_014"/>
    <x v="3"/>
    <s v="East"/>
    <d v="2026-01-20T14:26:00"/>
    <n v="299"/>
    <s v="Wallet"/>
    <x v="0"/>
    <n v="96"/>
    <n v="3.2889999999999997"/>
    <s v="Standard"/>
  </r>
  <r>
    <s v="TXN100216"/>
    <n v="221"/>
    <x v="30"/>
    <s v="Merchant_008"/>
    <x v="6"/>
    <s v="North"/>
    <d v="2026-01-17T03:22:00"/>
    <n v="299"/>
    <s v="UPI"/>
    <x v="0"/>
    <n v="36"/>
    <n v="0"/>
    <s v="Standard"/>
  </r>
  <r>
    <s v="TXN100217"/>
    <n v="250"/>
    <x v="36"/>
    <s v="Merchant_034"/>
    <x v="2"/>
    <s v="South"/>
    <d v="2026-01-22T21:37:00"/>
    <n v="299"/>
    <s v="Wallet"/>
    <x v="0"/>
    <n v="85"/>
    <n v="3.2889999999999997"/>
    <s v="Standard"/>
  </r>
  <r>
    <s v="TXN100218"/>
    <n v="203"/>
    <x v="38"/>
    <s v="Merchant_039"/>
    <x v="5"/>
    <s v="North"/>
    <d v="2026-01-10T01:14:00"/>
    <n v="49"/>
    <s v="UPI"/>
    <x v="0"/>
    <n v="7"/>
    <n v="0"/>
    <s v="Standard"/>
  </r>
  <r>
    <s v="TXN100219"/>
    <n v="109"/>
    <x v="39"/>
    <s v="Merchant_009"/>
    <x v="1"/>
    <s v="North"/>
    <d v="2026-01-01T06:19:00"/>
    <n v="499"/>
    <s v="Wallet"/>
    <x v="0"/>
    <n v="97"/>
    <n v="5.4889999999999999"/>
    <s v="Standard"/>
  </r>
  <r>
    <s v="TXN100220"/>
    <n v="62"/>
    <x v="37"/>
    <s v="Merchant_001"/>
    <x v="1"/>
    <s v="South"/>
    <d v="2026-01-09T09:20:00"/>
    <n v="4999"/>
    <s v="Wallet"/>
    <x v="0"/>
    <n v="63"/>
    <n v="54.988999999999997"/>
    <s v="Standard"/>
  </r>
  <r>
    <s v="TXN100221"/>
    <n v="67"/>
    <x v="14"/>
    <s v="Merchant_025"/>
    <x v="2"/>
    <s v="South"/>
    <d v="2026-01-24T13:11:00"/>
    <n v="49"/>
    <s v="UPI"/>
    <x v="0"/>
    <n v="68"/>
    <n v="0"/>
    <s v="Standard"/>
  </r>
  <r>
    <s v="TXN100222"/>
    <n v="287"/>
    <x v="5"/>
    <s v="Merchant_023"/>
    <x v="2"/>
    <s v="North"/>
    <d v="2026-01-23T07:32:00"/>
    <n v="49"/>
    <s v="UPI"/>
    <x v="0"/>
    <n v="9"/>
    <n v="0"/>
    <s v="Standard"/>
  </r>
  <r>
    <s v="TXN100223"/>
    <n v="224"/>
    <x v="27"/>
    <s v="Merchant_002"/>
    <x v="3"/>
    <s v="West"/>
    <d v="2026-01-13T23:02:00"/>
    <n v="49"/>
    <s v="Card"/>
    <x v="0"/>
    <n v="58"/>
    <n v="0.8819999999999999"/>
    <s v="Standard"/>
  </r>
  <r>
    <s v="TXN100224"/>
    <n v="161"/>
    <x v="21"/>
    <s v="Merchant_037"/>
    <x v="5"/>
    <s v="South"/>
    <d v="2026-01-30T02:55:00"/>
    <n v="299"/>
    <s v="UPI"/>
    <x v="0"/>
    <n v="54"/>
    <n v="0"/>
    <s v="Standard"/>
  </r>
  <r>
    <s v="TXN100225"/>
    <n v="328"/>
    <x v="1"/>
    <s v="Merchant_027"/>
    <x v="1"/>
    <s v="North"/>
    <d v="2026-01-19T12:45:00"/>
    <n v="49"/>
    <s v="UPI"/>
    <x v="2"/>
    <n v="37"/>
    <n v="0"/>
    <s v="Standard"/>
  </r>
  <r>
    <s v="TXN100226"/>
    <n v="167"/>
    <x v="2"/>
    <s v="Merchant_011"/>
    <x v="1"/>
    <s v="North"/>
    <d v="2026-01-04T12:01:00"/>
    <n v="1499"/>
    <s v="Card"/>
    <x v="1"/>
    <n v="79"/>
    <n v="26.981999999999999"/>
    <s v="Standard"/>
  </r>
  <r>
    <s v="TXN100227"/>
    <n v="186"/>
    <x v="18"/>
    <s v="Merchant_006"/>
    <x v="6"/>
    <s v="South"/>
    <d v="2026-01-15T22:58:00"/>
    <n v="49"/>
    <s v="Wallet"/>
    <x v="0"/>
    <n v="55"/>
    <n v="0.53899999999999992"/>
    <s v="Standard"/>
  </r>
  <r>
    <s v="TXN100228"/>
    <n v="224"/>
    <x v="35"/>
    <s v="Merchant_038"/>
    <x v="3"/>
    <s v="East"/>
    <d v="2026-01-28T03:15:00"/>
    <n v="299"/>
    <s v="Wallet"/>
    <x v="1"/>
    <n v="51"/>
    <n v="3.2889999999999997"/>
    <s v="Standard"/>
  </r>
  <r>
    <s v="TXN100229"/>
    <n v="159"/>
    <x v="3"/>
    <s v="Merchant_022"/>
    <x v="2"/>
    <s v="South"/>
    <d v="2026-01-17T02:25:00"/>
    <n v="799"/>
    <s v="UPI"/>
    <x v="0"/>
    <n v="28"/>
    <n v="0"/>
    <s v="Standard"/>
  </r>
  <r>
    <s v="TXN100230"/>
    <n v="262"/>
    <x v="30"/>
    <s v="Merchant_008"/>
    <x v="6"/>
    <s v="North"/>
    <d v="2026-01-11T05:04:00"/>
    <n v="149"/>
    <s v="UPI"/>
    <x v="0"/>
    <n v="67"/>
    <n v="0"/>
    <s v="Standard"/>
  </r>
  <r>
    <s v="TXN100231"/>
    <n v="179"/>
    <x v="5"/>
    <s v="Merchant_023"/>
    <x v="2"/>
    <s v="North"/>
    <d v="2026-01-17T06:57:00"/>
    <n v="49"/>
    <s v="Wallet"/>
    <x v="0"/>
    <n v="93"/>
    <n v="0.53899999999999992"/>
    <s v="Standard"/>
  </r>
  <r>
    <s v="TXN100232"/>
    <n v="76"/>
    <x v="0"/>
    <s v="Merchant_016"/>
    <x v="0"/>
    <s v="West"/>
    <d v="2026-01-27T20:52:00"/>
    <n v="299"/>
    <s v="UPI"/>
    <x v="0"/>
    <n v="13"/>
    <n v="0"/>
    <s v="Standard"/>
  </r>
  <r>
    <s v="TXN100233"/>
    <n v="89"/>
    <x v="38"/>
    <s v="Merchant_039"/>
    <x v="5"/>
    <s v="North"/>
    <d v="2026-01-05T08:12:00"/>
    <n v="299"/>
    <s v="UPI"/>
    <x v="0"/>
    <n v="19"/>
    <n v="0"/>
    <s v="Standard"/>
  </r>
  <r>
    <s v="TXN100234"/>
    <n v="91"/>
    <x v="33"/>
    <s v="Merchant_032"/>
    <x v="6"/>
    <s v="West"/>
    <d v="2026-01-25T20:04:00"/>
    <n v="49"/>
    <s v="UPI"/>
    <x v="0"/>
    <n v="59"/>
    <n v="0"/>
    <s v="Standard"/>
  </r>
  <r>
    <s v="TXN100235"/>
    <n v="297"/>
    <x v="26"/>
    <s v="Merchant_029"/>
    <x v="1"/>
    <s v="North"/>
    <d v="2026-01-25T18:48:00"/>
    <n v="99"/>
    <s v="Card"/>
    <x v="2"/>
    <n v="87"/>
    <n v="1.7819999999999998"/>
    <s v="Standard"/>
  </r>
  <r>
    <s v="TXN100236"/>
    <n v="326"/>
    <x v="12"/>
    <s v="Merchant_040"/>
    <x v="5"/>
    <s v="South"/>
    <d v="2026-01-30T18:41:00"/>
    <n v="499"/>
    <s v="Card"/>
    <x v="0"/>
    <n v="41"/>
    <n v="8.9819999999999993"/>
    <s v="Standard"/>
  </r>
  <r>
    <s v="TXN100237"/>
    <n v="78"/>
    <x v="26"/>
    <s v="Merchant_029"/>
    <x v="1"/>
    <s v="North"/>
    <d v="2026-01-28T20:20:00"/>
    <n v="149"/>
    <s v="UPI"/>
    <x v="0"/>
    <n v="8"/>
    <n v="0"/>
    <s v="Standard"/>
  </r>
  <r>
    <s v="TXN100238"/>
    <n v="156"/>
    <x v="7"/>
    <s v="Merchant_018"/>
    <x v="3"/>
    <s v="West"/>
    <d v="2026-01-16T14:40:00"/>
    <n v="2999"/>
    <s v="Card"/>
    <x v="0"/>
    <n v="75"/>
    <n v="53.981999999999999"/>
    <s v="Standard"/>
  </r>
  <r>
    <s v="TXN100239"/>
    <n v="38"/>
    <x v="15"/>
    <s v="Merchant_020"/>
    <x v="6"/>
    <s v="East"/>
    <d v="2026-01-02T11:32:00"/>
    <n v="49"/>
    <s v="Wallet"/>
    <x v="1"/>
    <n v="59"/>
    <n v="0.53899999999999992"/>
    <s v="Standard"/>
  </r>
  <r>
    <s v="TXN100240"/>
    <n v="189"/>
    <x v="13"/>
    <s v="Merchant_019"/>
    <x v="3"/>
    <s v="North"/>
    <d v="2026-01-15T01:03:00"/>
    <n v="99"/>
    <s v="UPI"/>
    <x v="1"/>
    <n v="9"/>
    <n v="0"/>
    <s v="Standard"/>
  </r>
  <r>
    <s v="TXN100241"/>
    <n v="305"/>
    <x v="11"/>
    <s v="Merchant_033"/>
    <x v="0"/>
    <s v="East"/>
    <d v="2026-01-21T02:39:00"/>
    <n v="299"/>
    <s v="Card"/>
    <x v="0"/>
    <n v="49"/>
    <n v="5.3819999999999997"/>
    <s v="Standard"/>
  </r>
  <r>
    <s v="TXN100242"/>
    <n v="22"/>
    <x v="26"/>
    <s v="Merchant_029"/>
    <x v="1"/>
    <s v="North"/>
    <d v="2026-01-15T18:35:00"/>
    <n v="799"/>
    <s v="UPI"/>
    <x v="0"/>
    <n v="73"/>
    <n v="0"/>
    <s v="Standard"/>
  </r>
  <r>
    <s v="TXN100243"/>
    <n v="310"/>
    <x v="20"/>
    <s v="Merchant_031"/>
    <x v="0"/>
    <s v="East"/>
    <d v="2026-01-21T06:20:00"/>
    <n v="49"/>
    <s v="Card"/>
    <x v="0"/>
    <n v="64"/>
    <n v="0.8819999999999999"/>
    <s v="Standard"/>
  </r>
  <r>
    <s v="TXN100244"/>
    <n v="53"/>
    <x v="3"/>
    <s v="Merchant_022"/>
    <x v="2"/>
    <s v="South"/>
    <d v="2026-01-05T01:28:00"/>
    <n v="299"/>
    <s v="UPI"/>
    <x v="0"/>
    <n v="91"/>
    <n v="0"/>
    <s v="Standard"/>
  </r>
  <r>
    <s v="TXN100245"/>
    <n v="89"/>
    <x v="4"/>
    <s v="Merchant_003"/>
    <x v="3"/>
    <s v="East"/>
    <d v="2026-01-03T16:41:00"/>
    <n v="149"/>
    <s v="Card"/>
    <x v="0"/>
    <n v="31"/>
    <n v="2.6819999999999999"/>
    <s v="Standard"/>
  </r>
  <r>
    <s v="TXN100246"/>
    <n v="269"/>
    <x v="36"/>
    <s v="Merchant_034"/>
    <x v="2"/>
    <s v="South"/>
    <d v="2026-01-23T14:28:00"/>
    <n v="149"/>
    <s v="UPI"/>
    <x v="0"/>
    <n v="78"/>
    <n v="0"/>
    <s v="Standard"/>
  </r>
  <r>
    <s v="TXN100247"/>
    <n v="145"/>
    <x v="14"/>
    <s v="Merchant_025"/>
    <x v="2"/>
    <s v="South"/>
    <d v="2026-01-06T11:23:00"/>
    <n v="799"/>
    <s v="UPI"/>
    <x v="0"/>
    <n v="52"/>
    <n v="0"/>
    <s v="Standard"/>
  </r>
  <r>
    <s v="TXN100248"/>
    <n v="307"/>
    <x v="29"/>
    <s v="Merchant_004"/>
    <x v="1"/>
    <s v="East"/>
    <d v="2026-01-25T10:43:00"/>
    <n v="1499"/>
    <s v="UPI"/>
    <x v="0"/>
    <n v="80"/>
    <n v="0"/>
    <s v="Standard"/>
  </r>
  <r>
    <s v="TXN100249"/>
    <n v="169"/>
    <x v="23"/>
    <s v="Merchant_007"/>
    <x v="6"/>
    <s v="East"/>
    <d v="2026-01-21T10:04:00"/>
    <n v="1499"/>
    <s v="Wallet"/>
    <x v="0"/>
    <n v="71"/>
    <n v="16.489000000000001"/>
    <s v="Standard"/>
  </r>
  <r>
    <s v="TXN100250"/>
    <n v="130"/>
    <x v="38"/>
    <s v="Merchant_039"/>
    <x v="5"/>
    <s v="North"/>
    <d v="2026-01-22T12:18:00"/>
    <n v="2999"/>
    <s v="Wallet"/>
    <x v="0"/>
    <n v="19"/>
    <n v="32.988999999999997"/>
    <s v="Standard"/>
  </r>
  <r>
    <s v="TXN100251"/>
    <n v="340"/>
    <x v="34"/>
    <s v="Merchant_010"/>
    <x v="3"/>
    <s v="West"/>
    <d v="2026-01-11T02:37:00"/>
    <n v="49"/>
    <s v="Card"/>
    <x v="0"/>
    <n v="44"/>
    <n v="0.8819999999999999"/>
    <s v="Standard"/>
  </r>
  <r>
    <s v="TXN100252"/>
    <n v="340"/>
    <x v="22"/>
    <s v="Merchant_026"/>
    <x v="6"/>
    <s v="East"/>
    <d v="2026-01-10T20:44:00"/>
    <n v="299"/>
    <s v="Card"/>
    <x v="0"/>
    <n v="16"/>
    <n v="5.3819999999999997"/>
    <s v="Standard"/>
  </r>
  <r>
    <s v="TXN100253"/>
    <n v="159"/>
    <x v="25"/>
    <s v="Merchant_036"/>
    <x v="5"/>
    <s v="East"/>
    <d v="2026-01-20T22:05:00"/>
    <n v="49"/>
    <s v="UPI"/>
    <x v="0"/>
    <n v="48"/>
    <n v="0"/>
    <s v="Standard"/>
  </r>
  <r>
    <s v="TXN100254"/>
    <n v="66"/>
    <x v="36"/>
    <s v="Merchant_034"/>
    <x v="2"/>
    <s v="South"/>
    <d v="2026-01-21T10:52:00"/>
    <n v="799"/>
    <s v="UPI"/>
    <x v="0"/>
    <n v="11"/>
    <n v="0"/>
    <s v="Standard"/>
  </r>
  <r>
    <s v="TXN100255"/>
    <n v="261"/>
    <x v="31"/>
    <s v="Merchant_024"/>
    <x v="3"/>
    <s v="North"/>
    <d v="2026-01-21T21:27:00"/>
    <n v="799"/>
    <s v="Card"/>
    <x v="0"/>
    <n v="2"/>
    <n v="14.382"/>
    <s v="Standard"/>
  </r>
  <r>
    <s v="TXN100256"/>
    <n v="110"/>
    <x v="3"/>
    <s v="Merchant_022"/>
    <x v="2"/>
    <s v="South"/>
    <d v="2026-01-12T09:11:00"/>
    <n v="799"/>
    <s v="UPI"/>
    <x v="0"/>
    <n v="98"/>
    <n v="0"/>
    <s v="Standard"/>
  </r>
  <r>
    <s v="TXN100257"/>
    <n v="71"/>
    <x v="34"/>
    <s v="Merchant_010"/>
    <x v="3"/>
    <s v="West"/>
    <d v="2026-01-16T06:14:00"/>
    <n v="49"/>
    <s v="UPI"/>
    <x v="0"/>
    <n v="9"/>
    <n v="0"/>
    <s v="Standard"/>
  </r>
  <r>
    <s v="TXN100258"/>
    <n v="277"/>
    <x v="36"/>
    <s v="Merchant_034"/>
    <x v="2"/>
    <s v="South"/>
    <d v="2026-01-10T03:32:00"/>
    <n v="49"/>
    <s v="UPI"/>
    <x v="0"/>
    <n v="4"/>
    <n v="0"/>
    <s v="Standard"/>
  </r>
  <r>
    <s v="TXN100259"/>
    <n v="317"/>
    <x v="39"/>
    <s v="Merchant_009"/>
    <x v="1"/>
    <s v="North"/>
    <d v="2026-01-22T10:56:00"/>
    <n v="499"/>
    <s v="Wallet"/>
    <x v="0"/>
    <n v="76"/>
    <n v="5.4889999999999999"/>
    <s v="Standard"/>
  </r>
  <r>
    <s v="TXN100260"/>
    <n v="93"/>
    <x v="12"/>
    <s v="Merchant_040"/>
    <x v="5"/>
    <s v="South"/>
    <d v="2026-01-13T04:10:00"/>
    <n v="299"/>
    <s v="UPI"/>
    <x v="0"/>
    <n v="21"/>
    <n v="0"/>
    <s v="Standard"/>
  </r>
  <r>
    <s v="TXN100261"/>
    <n v="211"/>
    <x v="31"/>
    <s v="Merchant_024"/>
    <x v="3"/>
    <s v="North"/>
    <d v="2026-01-24T14:02:00"/>
    <n v="99"/>
    <s v="Netbanking"/>
    <x v="0"/>
    <n v="86"/>
    <n v="1.4849999999999999"/>
    <s v="Standard"/>
  </r>
  <r>
    <s v="TXN100262"/>
    <n v="313"/>
    <x v="13"/>
    <s v="Merchant_019"/>
    <x v="3"/>
    <s v="North"/>
    <d v="2026-01-24T07:28:00"/>
    <n v="149"/>
    <s v="UPI"/>
    <x v="0"/>
    <n v="96"/>
    <n v="0"/>
    <s v="Standard"/>
  </r>
  <r>
    <s v="TXN100263"/>
    <n v="274"/>
    <x v="0"/>
    <s v="Merchant_016"/>
    <x v="0"/>
    <s v="West"/>
    <d v="2026-01-24T14:14:00"/>
    <n v="49"/>
    <s v="Wallet"/>
    <x v="1"/>
    <n v="39"/>
    <n v="0.53899999999999992"/>
    <s v="Standard"/>
  </r>
  <r>
    <s v="TXN100264"/>
    <n v="100"/>
    <x v="31"/>
    <s v="Merchant_024"/>
    <x v="3"/>
    <s v="North"/>
    <d v="2026-01-26T15:57:00"/>
    <n v="299"/>
    <s v="UPI"/>
    <x v="0"/>
    <n v="86"/>
    <n v="0"/>
    <s v="Standard"/>
  </r>
  <r>
    <s v="TXN100265"/>
    <n v="145"/>
    <x v="14"/>
    <s v="Merchant_025"/>
    <x v="2"/>
    <s v="South"/>
    <d v="2026-01-19T14:29:00"/>
    <n v="2999"/>
    <s v="Wallet"/>
    <x v="0"/>
    <n v="64"/>
    <n v="32.988999999999997"/>
    <s v="Standard"/>
  </r>
  <r>
    <s v="TXN100266"/>
    <n v="103"/>
    <x v="38"/>
    <s v="Merchant_039"/>
    <x v="5"/>
    <s v="North"/>
    <d v="2026-01-17T13:10:00"/>
    <n v="2999"/>
    <s v="Wallet"/>
    <x v="0"/>
    <n v="17"/>
    <n v="32.988999999999997"/>
    <s v="Standard"/>
  </r>
  <r>
    <s v="TXN100267"/>
    <n v="329"/>
    <x v="20"/>
    <s v="Merchant_031"/>
    <x v="0"/>
    <s v="East"/>
    <d v="2026-01-28T08:03:00"/>
    <n v="299"/>
    <s v="Wallet"/>
    <x v="0"/>
    <n v="47"/>
    <n v="3.2889999999999997"/>
    <s v="Standard"/>
  </r>
  <r>
    <s v="TXN100268"/>
    <n v="265"/>
    <x v="30"/>
    <s v="Merchant_008"/>
    <x v="6"/>
    <s v="North"/>
    <d v="2026-01-18T03:45:00"/>
    <n v="499"/>
    <s v="Netbanking"/>
    <x v="0"/>
    <n v="36"/>
    <n v="7.4849999999999994"/>
    <s v="Standard"/>
  </r>
  <r>
    <s v="TXN100269"/>
    <n v="231"/>
    <x v="11"/>
    <s v="Merchant_033"/>
    <x v="0"/>
    <s v="East"/>
    <d v="2026-01-03T05:17:00"/>
    <n v="149"/>
    <s v="UPI"/>
    <x v="1"/>
    <n v="18"/>
    <n v="0"/>
    <s v="Standard"/>
  </r>
  <r>
    <s v="TXN100270"/>
    <n v="114"/>
    <x v="26"/>
    <s v="Merchant_029"/>
    <x v="1"/>
    <s v="North"/>
    <d v="2026-01-27T13:05:00"/>
    <n v="799"/>
    <s v="UPI"/>
    <x v="2"/>
    <n v="44"/>
    <n v="0"/>
    <s v="Standard"/>
  </r>
  <r>
    <s v="TXN100271"/>
    <n v="28"/>
    <x v="22"/>
    <s v="Merchant_026"/>
    <x v="6"/>
    <s v="East"/>
    <d v="2026-01-30T00:26:00"/>
    <n v="1499"/>
    <s v="UPI"/>
    <x v="1"/>
    <n v="64"/>
    <n v="0"/>
    <s v="Standard"/>
  </r>
  <r>
    <s v="TXN100272"/>
    <n v="42"/>
    <x v="31"/>
    <s v="Merchant_024"/>
    <x v="3"/>
    <s v="North"/>
    <d v="2026-01-12T07:24:00"/>
    <n v="149"/>
    <s v="UPI"/>
    <x v="0"/>
    <n v="28"/>
    <n v="0"/>
    <s v="Standard"/>
  </r>
  <r>
    <s v="TXN100273"/>
    <n v="51"/>
    <x v="3"/>
    <s v="Merchant_022"/>
    <x v="2"/>
    <s v="South"/>
    <d v="2026-01-01T10:59:00"/>
    <n v="799"/>
    <s v="UPI"/>
    <x v="0"/>
    <n v="18"/>
    <n v="0"/>
    <s v="Standard"/>
  </r>
  <r>
    <s v="TXN100274"/>
    <n v="242"/>
    <x v="39"/>
    <s v="Merchant_009"/>
    <x v="1"/>
    <s v="North"/>
    <d v="2026-01-05T01:18:00"/>
    <n v="149"/>
    <s v="UPI"/>
    <x v="0"/>
    <n v="97"/>
    <n v="0"/>
    <s v="Standard"/>
  </r>
  <r>
    <s v="TXN100275"/>
    <n v="316"/>
    <x v="37"/>
    <s v="Merchant_001"/>
    <x v="1"/>
    <s v="South"/>
    <d v="2026-01-23T15:28:00"/>
    <n v="149"/>
    <s v="UPI"/>
    <x v="0"/>
    <n v="10"/>
    <n v="0"/>
    <s v="Standard"/>
  </r>
  <r>
    <s v="TXN100276"/>
    <n v="77"/>
    <x v="25"/>
    <s v="Merchant_036"/>
    <x v="5"/>
    <s v="East"/>
    <d v="2026-01-01T08:13:00"/>
    <n v="149"/>
    <s v="UPI"/>
    <x v="0"/>
    <n v="93"/>
    <n v="0"/>
    <s v="Standard"/>
  </r>
  <r>
    <s v="TXN100277"/>
    <n v="57"/>
    <x v="13"/>
    <s v="Merchant_019"/>
    <x v="3"/>
    <s v="North"/>
    <d v="2026-01-20T16:27:00"/>
    <n v="49"/>
    <s v="UPI"/>
    <x v="0"/>
    <n v="30"/>
    <n v="0"/>
    <s v="Standard"/>
  </r>
  <r>
    <s v="TXN100278"/>
    <n v="123"/>
    <x v="1"/>
    <s v="Merchant_027"/>
    <x v="1"/>
    <s v="North"/>
    <d v="2026-01-10T03:03:00"/>
    <n v="149"/>
    <s v="Netbanking"/>
    <x v="0"/>
    <n v="81"/>
    <n v="2.2349999999999999"/>
    <s v="Standard"/>
  </r>
  <r>
    <s v="TXN100279"/>
    <n v="33"/>
    <x v="30"/>
    <s v="Merchant_008"/>
    <x v="6"/>
    <s v="North"/>
    <d v="2026-01-26T19:29:00"/>
    <n v="299"/>
    <s v="Wallet"/>
    <x v="0"/>
    <n v="63"/>
    <n v="3.2889999999999997"/>
    <s v="Standard"/>
  </r>
  <r>
    <s v="TXN100280"/>
    <n v="324"/>
    <x v="11"/>
    <s v="Merchant_033"/>
    <x v="0"/>
    <s v="East"/>
    <d v="2026-01-20T17:01:00"/>
    <n v="499"/>
    <s v="UPI"/>
    <x v="0"/>
    <n v="73"/>
    <n v="0"/>
    <s v="Standard"/>
  </r>
  <r>
    <s v="TXN100281"/>
    <n v="150"/>
    <x v="10"/>
    <s v="Merchant_028"/>
    <x v="1"/>
    <s v="South"/>
    <d v="2026-01-08T22:09:00"/>
    <n v="49"/>
    <s v="UPI"/>
    <x v="1"/>
    <n v="0"/>
    <n v="0"/>
    <s v="Standard"/>
  </r>
  <r>
    <s v="TXN100282"/>
    <n v="293"/>
    <x v="1"/>
    <s v="Merchant_027"/>
    <x v="1"/>
    <s v="North"/>
    <d v="2026-01-20T11:15:00"/>
    <n v="4999"/>
    <s v="UPI"/>
    <x v="0"/>
    <n v="23"/>
    <n v="0"/>
    <s v="Standard"/>
  </r>
  <r>
    <s v="TXN100283"/>
    <n v="269"/>
    <x v="31"/>
    <s v="Merchant_024"/>
    <x v="3"/>
    <s v="North"/>
    <d v="2026-01-22T21:05:00"/>
    <n v="49"/>
    <s v="Wallet"/>
    <x v="0"/>
    <n v="8"/>
    <n v="0.53899999999999992"/>
    <s v="Standard"/>
  </r>
  <r>
    <s v="TXN100284"/>
    <n v="260"/>
    <x v="25"/>
    <s v="Merchant_036"/>
    <x v="5"/>
    <s v="East"/>
    <d v="2026-01-17T17:32:00"/>
    <n v="1499"/>
    <s v="UPI"/>
    <x v="0"/>
    <n v="2"/>
    <n v="0"/>
    <s v="Standard"/>
  </r>
  <r>
    <s v="TXN100285"/>
    <n v="326"/>
    <x v="14"/>
    <s v="Merchant_025"/>
    <x v="2"/>
    <s v="South"/>
    <d v="2026-01-13T15:02:00"/>
    <n v="49"/>
    <s v="UPI"/>
    <x v="0"/>
    <n v="47"/>
    <n v="0"/>
    <s v="Standard"/>
  </r>
  <r>
    <s v="TXN100286"/>
    <n v="183"/>
    <x v="32"/>
    <s v="Merchant_005"/>
    <x v="4"/>
    <s v="South"/>
    <d v="2026-01-09T23:01:00"/>
    <n v="49"/>
    <s v="Card"/>
    <x v="0"/>
    <n v="44"/>
    <n v="0.8819999999999999"/>
    <s v="Standard"/>
  </r>
  <r>
    <s v="TXN100287"/>
    <n v="322"/>
    <x v="23"/>
    <s v="Merchant_007"/>
    <x v="6"/>
    <s v="East"/>
    <d v="2026-01-08T23:42:00"/>
    <n v="299"/>
    <s v="UPI"/>
    <x v="0"/>
    <n v="98"/>
    <n v="0"/>
    <s v="Standard"/>
  </r>
  <r>
    <s v="TXN100288"/>
    <n v="171"/>
    <x v="39"/>
    <s v="Merchant_009"/>
    <x v="1"/>
    <s v="North"/>
    <d v="2026-01-19T23:48:00"/>
    <n v="299"/>
    <s v="UPI"/>
    <x v="0"/>
    <n v="5"/>
    <n v="0"/>
    <s v="Standard"/>
  </r>
  <r>
    <s v="TXN100289"/>
    <n v="330"/>
    <x v="9"/>
    <s v="Merchant_012"/>
    <x v="1"/>
    <s v="East"/>
    <d v="2026-01-12T17:21:00"/>
    <n v="1499"/>
    <s v="Netbanking"/>
    <x v="0"/>
    <n v="99"/>
    <n v="22.484999999999999"/>
    <s v="Standard"/>
  </r>
  <r>
    <s v="TXN100290"/>
    <n v="246"/>
    <x v="9"/>
    <s v="Merchant_012"/>
    <x v="1"/>
    <s v="East"/>
    <d v="2026-01-22T14:44:00"/>
    <n v="99"/>
    <s v="Wallet"/>
    <x v="0"/>
    <n v="17"/>
    <n v="1.089"/>
    <s v="Standard"/>
  </r>
  <r>
    <s v="TXN100291"/>
    <n v="235"/>
    <x v="4"/>
    <s v="Merchant_003"/>
    <x v="3"/>
    <s v="East"/>
    <d v="2026-01-03T22:49:00"/>
    <n v="49"/>
    <s v="UPI"/>
    <x v="0"/>
    <n v="37"/>
    <n v="0"/>
    <s v="Standard"/>
  </r>
  <r>
    <s v="TXN100292"/>
    <n v="103"/>
    <x v="4"/>
    <s v="Merchant_003"/>
    <x v="3"/>
    <s v="East"/>
    <d v="2026-01-07T01:50:00"/>
    <n v="499"/>
    <s v="UPI"/>
    <x v="0"/>
    <n v="40"/>
    <n v="0"/>
    <s v="Standard"/>
  </r>
  <r>
    <s v="TXN100293"/>
    <n v="204"/>
    <x v="8"/>
    <s v="Merchant_035"/>
    <x v="4"/>
    <s v="East"/>
    <d v="2026-01-30T09:32:00"/>
    <n v="99"/>
    <s v="Wallet"/>
    <x v="0"/>
    <n v="60"/>
    <n v="1.089"/>
    <s v="Standard"/>
  </r>
  <r>
    <s v="TXN100294"/>
    <n v="332"/>
    <x v="6"/>
    <s v="Merchant_013"/>
    <x v="2"/>
    <s v="East"/>
    <d v="2026-01-09T01:48:00"/>
    <n v="49"/>
    <s v="Card"/>
    <x v="0"/>
    <n v="36"/>
    <n v="0.8819999999999999"/>
    <s v="Standard"/>
  </r>
  <r>
    <s v="TXN100295"/>
    <n v="336"/>
    <x v="3"/>
    <s v="Merchant_022"/>
    <x v="2"/>
    <s v="South"/>
    <d v="2026-01-12T01:55:00"/>
    <n v="499"/>
    <s v="UPI"/>
    <x v="0"/>
    <n v="34"/>
    <n v="0"/>
    <s v="Standard"/>
  </r>
  <r>
    <s v="TXN100296"/>
    <n v="205"/>
    <x v="26"/>
    <s v="Merchant_029"/>
    <x v="1"/>
    <s v="North"/>
    <d v="2026-01-04T11:27:00"/>
    <n v="99"/>
    <s v="Wallet"/>
    <x v="0"/>
    <n v="49"/>
    <n v="1.089"/>
    <s v="Standard"/>
  </r>
  <r>
    <s v="TXN100297"/>
    <n v="255"/>
    <x v="31"/>
    <s v="Merchant_024"/>
    <x v="3"/>
    <s v="North"/>
    <d v="2026-01-11T05:31:00"/>
    <n v="799"/>
    <s v="UPI"/>
    <x v="0"/>
    <n v="66"/>
    <n v="0"/>
    <s v="Standard"/>
  </r>
  <r>
    <s v="TXN100298"/>
    <n v="218"/>
    <x v="18"/>
    <s v="Merchant_006"/>
    <x v="6"/>
    <s v="South"/>
    <d v="2026-01-09T02:46:00"/>
    <n v="99"/>
    <s v="UPI"/>
    <x v="0"/>
    <n v="55"/>
    <n v="0"/>
    <s v="Standard"/>
  </r>
  <r>
    <s v="TXN100299"/>
    <n v="151"/>
    <x v="17"/>
    <s v="Merchant_021"/>
    <x v="6"/>
    <s v="East"/>
    <d v="2026-01-20T05:34:00"/>
    <n v="49"/>
    <s v="UPI"/>
    <x v="0"/>
    <n v="13"/>
    <n v="0"/>
    <s v="Standard"/>
  </r>
  <r>
    <s v="TXN100300"/>
    <n v="152"/>
    <x v="15"/>
    <s v="Merchant_020"/>
    <x v="6"/>
    <s v="East"/>
    <d v="2026-01-03T10:42:00"/>
    <n v="49"/>
    <s v="UPI"/>
    <x v="0"/>
    <n v="57"/>
    <n v="0"/>
    <s v="Standard"/>
  </r>
  <r>
    <s v="TXN100301"/>
    <n v="86"/>
    <x v="26"/>
    <s v="Merchant_029"/>
    <x v="1"/>
    <s v="North"/>
    <d v="2026-01-20T22:27:00"/>
    <n v="149"/>
    <s v="Card"/>
    <x v="0"/>
    <n v="44"/>
    <n v="2.6819999999999999"/>
    <s v="Standard"/>
  </r>
  <r>
    <s v="TXN100302"/>
    <n v="181"/>
    <x v="12"/>
    <s v="Merchant_040"/>
    <x v="5"/>
    <s v="South"/>
    <d v="2026-01-15T01:46:00"/>
    <n v="149"/>
    <s v="UPI"/>
    <x v="0"/>
    <n v="55"/>
    <n v="0"/>
    <s v="Standard"/>
  </r>
  <r>
    <s v="TXN100303"/>
    <n v="30"/>
    <x v="32"/>
    <s v="Merchant_005"/>
    <x v="4"/>
    <s v="South"/>
    <d v="2026-01-09T20:50:00"/>
    <n v="299"/>
    <s v="UPI"/>
    <x v="0"/>
    <n v="85"/>
    <n v="0"/>
    <s v="Standard"/>
  </r>
  <r>
    <s v="TXN100304"/>
    <n v="263"/>
    <x v="2"/>
    <s v="Merchant_011"/>
    <x v="1"/>
    <s v="North"/>
    <d v="2026-01-21T12:23:00"/>
    <n v="149"/>
    <s v="Wallet"/>
    <x v="0"/>
    <n v="3"/>
    <n v="1.639"/>
    <s v="Standard"/>
  </r>
  <r>
    <s v="TXN100305"/>
    <n v="225"/>
    <x v="4"/>
    <s v="Merchant_003"/>
    <x v="3"/>
    <s v="East"/>
    <d v="2026-01-05T19:43:00"/>
    <n v="99"/>
    <s v="Netbanking"/>
    <x v="0"/>
    <n v="16"/>
    <n v="1.4849999999999999"/>
    <s v="Standard"/>
  </r>
  <r>
    <s v="TXN100306"/>
    <n v="331"/>
    <x v="31"/>
    <s v="Merchant_024"/>
    <x v="3"/>
    <s v="North"/>
    <d v="2026-01-03T07:49:00"/>
    <n v="49"/>
    <s v="Card"/>
    <x v="0"/>
    <n v="46"/>
    <n v="0.8819999999999999"/>
    <s v="Standard"/>
  </r>
  <r>
    <s v="TXN100307"/>
    <n v="310"/>
    <x v="34"/>
    <s v="Merchant_010"/>
    <x v="3"/>
    <s v="West"/>
    <d v="2026-01-13T18:02:00"/>
    <n v="1499"/>
    <s v="Card"/>
    <x v="0"/>
    <n v="86"/>
    <n v="26.981999999999999"/>
    <s v="Standard"/>
  </r>
  <r>
    <s v="TXN100308"/>
    <n v="228"/>
    <x v="32"/>
    <s v="Merchant_005"/>
    <x v="4"/>
    <s v="South"/>
    <d v="2026-01-15T11:23:00"/>
    <n v="49"/>
    <s v="UPI"/>
    <x v="0"/>
    <n v="73"/>
    <n v="0"/>
    <s v="Standard"/>
  </r>
  <r>
    <s v="TXN100309"/>
    <n v="204"/>
    <x v="17"/>
    <s v="Merchant_021"/>
    <x v="6"/>
    <s v="East"/>
    <d v="2026-01-05T16:23:00"/>
    <n v="499"/>
    <s v="UPI"/>
    <x v="0"/>
    <n v="83"/>
    <n v="0"/>
    <s v="Standard"/>
  </r>
  <r>
    <s v="TXN100310"/>
    <n v="14"/>
    <x v="9"/>
    <s v="Merchant_012"/>
    <x v="1"/>
    <s v="East"/>
    <d v="2026-01-09T07:07:00"/>
    <n v="799"/>
    <s v="Netbanking"/>
    <x v="0"/>
    <n v="63"/>
    <n v="11.984999999999999"/>
    <s v="Standard"/>
  </r>
  <r>
    <s v="TXN100311"/>
    <n v="288"/>
    <x v="30"/>
    <s v="Merchant_008"/>
    <x v="6"/>
    <s v="North"/>
    <d v="2026-01-17T12:58:00"/>
    <n v="49"/>
    <s v="UPI"/>
    <x v="0"/>
    <n v="33"/>
    <n v="0"/>
    <s v="Standard"/>
  </r>
  <r>
    <s v="TXN100312"/>
    <n v="229"/>
    <x v="16"/>
    <s v="Merchant_014"/>
    <x v="3"/>
    <s v="East"/>
    <d v="2026-01-25T08:45:00"/>
    <n v="1499"/>
    <s v="UPI"/>
    <x v="0"/>
    <n v="78"/>
    <n v="0"/>
    <s v="Standard"/>
  </r>
  <r>
    <s v="TXN100313"/>
    <n v="252"/>
    <x v="6"/>
    <s v="Merchant_013"/>
    <x v="2"/>
    <s v="East"/>
    <d v="2026-01-10T22:58:00"/>
    <n v="99"/>
    <s v="Wallet"/>
    <x v="0"/>
    <n v="15"/>
    <n v="1.089"/>
    <s v="Standard"/>
  </r>
  <r>
    <s v="TXN100314"/>
    <n v="89"/>
    <x v="26"/>
    <s v="Merchant_029"/>
    <x v="1"/>
    <s v="North"/>
    <d v="2026-01-05T02:28:00"/>
    <n v="799"/>
    <s v="UPI"/>
    <x v="0"/>
    <n v="11"/>
    <n v="0"/>
    <s v="Standard"/>
  </r>
  <r>
    <s v="TXN100315"/>
    <n v="164"/>
    <x v="5"/>
    <s v="Merchant_023"/>
    <x v="2"/>
    <s v="North"/>
    <d v="2026-01-26T21:54:00"/>
    <n v="49"/>
    <s v="Netbanking"/>
    <x v="0"/>
    <n v="90"/>
    <n v="0.73499999999999999"/>
    <s v="Standard"/>
  </r>
  <r>
    <s v="TXN100316"/>
    <n v="149"/>
    <x v="15"/>
    <s v="Merchant_020"/>
    <x v="6"/>
    <s v="East"/>
    <d v="2026-01-03T17:34:00"/>
    <n v="299"/>
    <s v="Wallet"/>
    <x v="0"/>
    <n v="20"/>
    <n v="3.2889999999999997"/>
    <s v="Standard"/>
  </r>
  <r>
    <s v="TXN100317"/>
    <n v="327"/>
    <x v="9"/>
    <s v="Merchant_012"/>
    <x v="1"/>
    <s v="East"/>
    <d v="2026-01-23T22:59:00"/>
    <n v="49"/>
    <s v="Netbanking"/>
    <x v="0"/>
    <n v="46"/>
    <n v="0.73499999999999999"/>
    <s v="Standard"/>
  </r>
  <r>
    <s v="TXN100318"/>
    <n v="103"/>
    <x v="39"/>
    <s v="Merchant_009"/>
    <x v="1"/>
    <s v="North"/>
    <d v="2026-01-17T07:07:00"/>
    <n v="149"/>
    <s v="UPI"/>
    <x v="0"/>
    <n v="30"/>
    <n v="0"/>
    <s v="Standard"/>
  </r>
  <r>
    <s v="TXN100319"/>
    <n v="185"/>
    <x v="25"/>
    <s v="Merchant_036"/>
    <x v="5"/>
    <s v="East"/>
    <d v="2026-01-26T15:01:00"/>
    <n v="49"/>
    <s v="Wallet"/>
    <x v="0"/>
    <n v="73"/>
    <n v="0.53899999999999992"/>
    <s v="Standard"/>
  </r>
  <r>
    <s v="TXN100320"/>
    <n v="283"/>
    <x v="39"/>
    <s v="Merchant_009"/>
    <x v="1"/>
    <s v="North"/>
    <d v="2026-01-12T14:51:00"/>
    <n v="299"/>
    <s v="UPI"/>
    <x v="0"/>
    <n v="78"/>
    <n v="0"/>
    <s v="Standard"/>
  </r>
  <r>
    <s v="TXN100321"/>
    <n v="159"/>
    <x v="22"/>
    <s v="Merchant_026"/>
    <x v="6"/>
    <s v="East"/>
    <d v="2026-01-29T02:04:00"/>
    <n v="99"/>
    <s v="UPI"/>
    <x v="0"/>
    <n v="91"/>
    <n v="0"/>
    <s v="Standard"/>
  </r>
  <r>
    <s v="TXN100322"/>
    <n v="211"/>
    <x v="1"/>
    <s v="Merchant_027"/>
    <x v="1"/>
    <s v="North"/>
    <d v="2026-01-24T15:33:00"/>
    <n v="99"/>
    <s v="Wallet"/>
    <x v="0"/>
    <n v="73"/>
    <n v="1.089"/>
    <s v="Standard"/>
  </r>
  <r>
    <s v="TXN100323"/>
    <n v="329"/>
    <x v="32"/>
    <s v="Merchant_005"/>
    <x v="4"/>
    <s v="South"/>
    <d v="2026-01-03T04:20:00"/>
    <n v="499"/>
    <s v="Netbanking"/>
    <x v="0"/>
    <n v="57"/>
    <n v="7.4849999999999994"/>
    <s v="Standard"/>
  </r>
  <r>
    <s v="TXN100324"/>
    <n v="177"/>
    <x v="39"/>
    <s v="Merchant_009"/>
    <x v="1"/>
    <s v="North"/>
    <d v="2026-01-15T21:33:00"/>
    <n v="99"/>
    <s v="UPI"/>
    <x v="0"/>
    <n v="99"/>
    <n v="0"/>
    <s v="Standard"/>
  </r>
  <r>
    <s v="TXN100325"/>
    <n v="94"/>
    <x v="39"/>
    <s v="Merchant_009"/>
    <x v="1"/>
    <s v="North"/>
    <d v="2026-01-18T20:37:00"/>
    <n v="299"/>
    <s v="UPI"/>
    <x v="0"/>
    <n v="55"/>
    <n v="0"/>
    <s v="Standard"/>
  </r>
  <r>
    <s v="TXN100326"/>
    <n v="64"/>
    <x v="36"/>
    <s v="Merchant_034"/>
    <x v="2"/>
    <s v="South"/>
    <d v="2026-01-17T01:53:00"/>
    <n v="299"/>
    <s v="UPI"/>
    <x v="0"/>
    <n v="19"/>
    <n v="0"/>
    <s v="Standard"/>
  </r>
  <r>
    <s v="TXN100327"/>
    <n v="166"/>
    <x v="19"/>
    <s v="Merchant_015"/>
    <x v="2"/>
    <s v="North"/>
    <d v="2026-01-10T05:10:00"/>
    <n v="49"/>
    <s v="UPI"/>
    <x v="0"/>
    <n v="44"/>
    <n v="0"/>
    <s v="Standard"/>
  </r>
  <r>
    <s v="TXN100328"/>
    <n v="41"/>
    <x v="28"/>
    <s v="Merchant_017"/>
    <x v="3"/>
    <s v="North"/>
    <d v="2026-01-17T09:54:00"/>
    <n v="299"/>
    <s v="Wallet"/>
    <x v="0"/>
    <n v="25"/>
    <n v="3.2889999999999997"/>
    <s v="Standard"/>
  </r>
  <r>
    <s v="TXN100329"/>
    <n v="65"/>
    <x v="15"/>
    <s v="Merchant_020"/>
    <x v="6"/>
    <s v="East"/>
    <d v="2026-01-21T17:17:00"/>
    <n v="99"/>
    <s v="Card"/>
    <x v="0"/>
    <n v="78"/>
    <n v="1.7819999999999998"/>
    <s v="Standard"/>
  </r>
  <r>
    <s v="TXN100330"/>
    <n v="329"/>
    <x v="2"/>
    <s v="Merchant_011"/>
    <x v="1"/>
    <s v="North"/>
    <d v="2026-01-18T02:32:00"/>
    <n v="499"/>
    <s v="UPI"/>
    <x v="0"/>
    <n v="75"/>
    <n v="0"/>
    <s v="Standard"/>
  </r>
  <r>
    <s v="TXN100331"/>
    <n v="338"/>
    <x v="12"/>
    <s v="Merchant_040"/>
    <x v="5"/>
    <s v="South"/>
    <d v="2026-01-19T04:10:00"/>
    <n v="149"/>
    <s v="UPI"/>
    <x v="0"/>
    <n v="92"/>
    <n v="0"/>
    <s v="Standard"/>
  </r>
  <r>
    <s v="TXN100332"/>
    <n v="289"/>
    <x v="4"/>
    <s v="Merchant_003"/>
    <x v="3"/>
    <s v="East"/>
    <d v="2026-01-29T19:21:00"/>
    <n v="49"/>
    <s v="Netbanking"/>
    <x v="0"/>
    <n v="3"/>
    <n v="0.73499999999999999"/>
    <s v="Standard"/>
  </r>
  <r>
    <s v="TXN100333"/>
    <n v="296"/>
    <x v="28"/>
    <s v="Merchant_017"/>
    <x v="3"/>
    <s v="North"/>
    <d v="2026-01-03T01:41:00"/>
    <n v="99"/>
    <s v="UPI"/>
    <x v="0"/>
    <n v="83"/>
    <n v="0"/>
    <s v="Standard"/>
  </r>
  <r>
    <s v="TXN100334"/>
    <n v="317"/>
    <x v="27"/>
    <s v="Merchant_002"/>
    <x v="3"/>
    <s v="West"/>
    <d v="2026-01-07T18:26:00"/>
    <n v="499"/>
    <s v="Card"/>
    <x v="0"/>
    <n v="63"/>
    <n v="8.9819999999999993"/>
    <s v="Standard"/>
  </r>
  <r>
    <s v="TXN100335"/>
    <n v="149"/>
    <x v="15"/>
    <s v="Merchant_020"/>
    <x v="6"/>
    <s v="East"/>
    <d v="2026-01-29T20:34:00"/>
    <n v="499"/>
    <s v="Card"/>
    <x v="0"/>
    <n v="61"/>
    <n v="8.9819999999999993"/>
    <s v="Standard"/>
  </r>
  <r>
    <s v="TXN100336"/>
    <n v="153"/>
    <x v="24"/>
    <s v="Merchant_030"/>
    <x v="2"/>
    <s v="West"/>
    <d v="2026-01-08T21:25:00"/>
    <n v="299"/>
    <s v="UPI"/>
    <x v="0"/>
    <n v="9"/>
    <n v="0"/>
    <s v="Standard"/>
  </r>
  <r>
    <s v="TXN100337"/>
    <n v="226"/>
    <x v="1"/>
    <s v="Merchant_027"/>
    <x v="1"/>
    <s v="North"/>
    <d v="2026-01-23T01:10:00"/>
    <n v="2999"/>
    <s v="UPI"/>
    <x v="2"/>
    <n v="61"/>
    <n v="0"/>
    <s v="Standard"/>
  </r>
  <r>
    <s v="TXN100338"/>
    <n v="311"/>
    <x v="34"/>
    <s v="Merchant_010"/>
    <x v="3"/>
    <s v="West"/>
    <d v="2026-01-15T06:21:00"/>
    <n v="2999"/>
    <s v="UPI"/>
    <x v="0"/>
    <n v="40"/>
    <n v="0"/>
    <s v="Standard"/>
  </r>
  <r>
    <s v="TXN100339"/>
    <n v="177"/>
    <x v="22"/>
    <s v="Merchant_026"/>
    <x v="6"/>
    <s v="East"/>
    <d v="2026-01-28T22:20:00"/>
    <n v="1499"/>
    <s v="UPI"/>
    <x v="0"/>
    <n v="16"/>
    <n v="0"/>
    <s v="Standard"/>
  </r>
  <r>
    <s v="TXN100340"/>
    <n v="288"/>
    <x v="23"/>
    <s v="Merchant_007"/>
    <x v="6"/>
    <s v="East"/>
    <d v="2026-01-25T11:32:00"/>
    <n v="99"/>
    <s v="Netbanking"/>
    <x v="0"/>
    <n v="40"/>
    <n v="1.4849999999999999"/>
    <s v="Standard"/>
  </r>
  <r>
    <s v="TXN100341"/>
    <n v="137"/>
    <x v="26"/>
    <s v="Merchant_029"/>
    <x v="1"/>
    <s v="North"/>
    <d v="2026-01-08T14:07:00"/>
    <n v="2999"/>
    <s v="UPI"/>
    <x v="1"/>
    <n v="31"/>
    <n v="0"/>
    <s v="Standard"/>
  </r>
  <r>
    <s v="TXN100342"/>
    <n v="149"/>
    <x v="14"/>
    <s v="Merchant_025"/>
    <x v="2"/>
    <s v="South"/>
    <d v="2026-01-05T03:03:00"/>
    <n v="1499"/>
    <s v="UPI"/>
    <x v="0"/>
    <n v="78"/>
    <n v="0"/>
    <s v="Standard"/>
  </r>
  <r>
    <s v="TXN100343"/>
    <n v="82"/>
    <x v="17"/>
    <s v="Merchant_021"/>
    <x v="6"/>
    <s v="East"/>
    <d v="2026-01-14T07:55:00"/>
    <n v="49"/>
    <s v="Wallet"/>
    <x v="0"/>
    <n v="73"/>
    <n v="0.53899999999999992"/>
    <s v="Standard"/>
  </r>
  <r>
    <s v="TXN100344"/>
    <n v="82"/>
    <x v="33"/>
    <s v="Merchant_032"/>
    <x v="6"/>
    <s v="West"/>
    <d v="2026-01-24T10:12:00"/>
    <n v="49"/>
    <s v="UPI"/>
    <x v="0"/>
    <n v="65"/>
    <n v="0"/>
    <s v="Standard"/>
  </r>
  <r>
    <s v="TXN100345"/>
    <n v="158"/>
    <x v="33"/>
    <s v="Merchant_032"/>
    <x v="6"/>
    <s v="West"/>
    <d v="2026-01-15T15:56:00"/>
    <n v="99"/>
    <s v="Wallet"/>
    <x v="0"/>
    <n v="2"/>
    <n v="1.089"/>
    <s v="Standard"/>
  </r>
  <r>
    <s v="TXN100346"/>
    <n v="235"/>
    <x v="0"/>
    <s v="Merchant_016"/>
    <x v="0"/>
    <s v="West"/>
    <d v="2026-01-03T12:32:00"/>
    <n v="99"/>
    <s v="UPI"/>
    <x v="0"/>
    <n v="27"/>
    <n v="0"/>
    <s v="Standard"/>
  </r>
  <r>
    <s v="TXN100347"/>
    <n v="26"/>
    <x v="13"/>
    <s v="Merchant_019"/>
    <x v="3"/>
    <s v="North"/>
    <d v="2026-01-19T11:03:00"/>
    <n v="99"/>
    <s v="Wallet"/>
    <x v="0"/>
    <n v="63"/>
    <n v="1.089"/>
    <s v="Standard"/>
  </r>
  <r>
    <s v="TXN100348"/>
    <n v="241"/>
    <x v="13"/>
    <s v="Merchant_019"/>
    <x v="3"/>
    <s v="North"/>
    <d v="2026-01-20T20:43:00"/>
    <n v="299"/>
    <s v="UPI"/>
    <x v="0"/>
    <n v="68"/>
    <n v="0"/>
    <s v="Standard"/>
  </r>
  <r>
    <s v="TXN100349"/>
    <n v="69"/>
    <x v="28"/>
    <s v="Merchant_017"/>
    <x v="3"/>
    <s v="North"/>
    <d v="2026-01-01T03:27:00"/>
    <n v="1499"/>
    <s v="UPI"/>
    <x v="0"/>
    <n v="93"/>
    <n v="0"/>
    <s v="Standard"/>
  </r>
  <r>
    <s v="TXN100350"/>
    <n v="24"/>
    <x v="22"/>
    <s v="Merchant_026"/>
    <x v="6"/>
    <s v="East"/>
    <d v="2026-01-12T12:23:00"/>
    <n v="299"/>
    <s v="Netbanking"/>
    <x v="0"/>
    <n v="6"/>
    <n v="4.4849999999999994"/>
    <s v="Standard"/>
  </r>
  <r>
    <s v="TXN100351"/>
    <n v="186"/>
    <x v="25"/>
    <s v="Merchant_036"/>
    <x v="5"/>
    <s v="East"/>
    <d v="2026-01-19T17:12:00"/>
    <n v="4999"/>
    <s v="UPI"/>
    <x v="0"/>
    <n v="36"/>
    <n v="0"/>
    <s v="Standard"/>
  </r>
  <r>
    <s v="TXN100352"/>
    <n v="231"/>
    <x v="25"/>
    <s v="Merchant_036"/>
    <x v="5"/>
    <s v="East"/>
    <d v="2026-01-03T12:32:00"/>
    <n v="149"/>
    <s v="UPI"/>
    <x v="0"/>
    <n v="35"/>
    <n v="0"/>
    <s v="Standard"/>
  </r>
  <r>
    <s v="TXN100353"/>
    <n v="313"/>
    <x v="30"/>
    <s v="Merchant_008"/>
    <x v="6"/>
    <s v="North"/>
    <d v="2026-01-27T19:43:00"/>
    <n v="1499"/>
    <s v="Netbanking"/>
    <x v="0"/>
    <n v="16"/>
    <n v="22.484999999999999"/>
    <s v="Standard"/>
  </r>
  <r>
    <s v="TXN100354"/>
    <n v="174"/>
    <x v="25"/>
    <s v="Merchant_036"/>
    <x v="5"/>
    <s v="East"/>
    <d v="2026-01-04T12:23:00"/>
    <n v="149"/>
    <s v="UPI"/>
    <x v="0"/>
    <n v="46"/>
    <n v="0"/>
    <s v="Standard"/>
  </r>
  <r>
    <s v="TXN100355"/>
    <n v="309"/>
    <x v="11"/>
    <s v="Merchant_033"/>
    <x v="0"/>
    <s v="East"/>
    <d v="2026-01-25T04:12:00"/>
    <n v="99"/>
    <s v="UPI"/>
    <x v="0"/>
    <n v="51"/>
    <n v="0"/>
    <s v="Standard"/>
  </r>
  <r>
    <s v="TXN100356"/>
    <n v="20"/>
    <x v="39"/>
    <s v="Merchant_009"/>
    <x v="1"/>
    <s v="North"/>
    <d v="2026-01-17T01:02:00"/>
    <n v="99"/>
    <s v="UPI"/>
    <x v="0"/>
    <n v="91"/>
    <n v="0"/>
    <s v="Standard"/>
  </r>
  <r>
    <s v="TXN100357"/>
    <n v="234"/>
    <x v="34"/>
    <s v="Merchant_010"/>
    <x v="3"/>
    <s v="West"/>
    <d v="2026-01-11T15:33:00"/>
    <n v="49"/>
    <s v="UPI"/>
    <x v="0"/>
    <n v="77"/>
    <n v="0"/>
    <s v="Standard"/>
  </r>
  <r>
    <s v="TXN100358"/>
    <n v="168"/>
    <x v="12"/>
    <s v="Merchant_040"/>
    <x v="5"/>
    <s v="South"/>
    <d v="2026-01-29T16:08:00"/>
    <n v="149"/>
    <s v="UPI"/>
    <x v="2"/>
    <n v="40"/>
    <n v="0"/>
    <s v="Standard"/>
  </r>
  <r>
    <s v="TXN100359"/>
    <n v="154"/>
    <x v="35"/>
    <s v="Merchant_038"/>
    <x v="3"/>
    <s v="East"/>
    <d v="2026-01-06T12:39:00"/>
    <n v="99"/>
    <s v="Netbanking"/>
    <x v="0"/>
    <n v="43"/>
    <n v="1.4849999999999999"/>
    <s v="Standard"/>
  </r>
  <r>
    <s v="TXN100360"/>
    <n v="251"/>
    <x v="21"/>
    <s v="Merchant_037"/>
    <x v="5"/>
    <s v="South"/>
    <d v="2026-01-17T16:34:00"/>
    <n v="49"/>
    <s v="UPI"/>
    <x v="0"/>
    <n v="38"/>
    <n v="0"/>
    <s v="Standard"/>
  </r>
  <r>
    <s v="TXN100361"/>
    <n v="170"/>
    <x v="30"/>
    <s v="Merchant_008"/>
    <x v="6"/>
    <s v="North"/>
    <d v="2026-01-16T00:23:00"/>
    <n v="2999"/>
    <s v="UPI"/>
    <x v="0"/>
    <n v="53"/>
    <n v="0"/>
    <s v="Standard"/>
  </r>
  <r>
    <s v="TXN100362"/>
    <n v="323"/>
    <x v="27"/>
    <s v="Merchant_002"/>
    <x v="3"/>
    <s v="West"/>
    <d v="2026-01-19T09:50:00"/>
    <n v="49"/>
    <s v="Netbanking"/>
    <x v="0"/>
    <n v="76"/>
    <n v="0.73499999999999999"/>
    <s v="Standard"/>
  </r>
  <r>
    <s v="TXN100363"/>
    <n v="297"/>
    <x v="21"/>
    <s v="Merchant_037"/>
    <x v="5"/>
    <s v="South"/>
    <d v="2026-01-16T08:41:00"/>
    <n v="2999"/>
    <s v="Wallet"/>
    <x v="0"/>
    <n v="29"/>
    <n v="32.988999999999997"/>
    <s v="Standard"/>
  </r>
  <r>
    <s v="TXN100364"/>
    <n v="246"/>
    <x v="2"/>
    <s v="Merchant_011"/>
    <x v="1"/>
    <s v="North"/>
    <d v="2026-01-24T01:37:00"/>
    <n v="299"/>
    <s v="UPI"/>
    <x v="0"/>
    <n v="67"/>
    <n v="0"/>
    <s v="Standard"/>
  </r>
  <r>
    <s v="TXN100365"/>
    <n v="195"/>
    <x v="34"/>
    <s v="Merchant_010"/>
    <x v="3"/>
    <s v="West"/>
    <d v="2026-01-21T23:39:00"/>
    <n v="99"/>
    <s v="UPI"/>
    <x v="0"/>
    <n v="87"/>
    <n v="0"/>
    <s v="Standard"/>
  </r>
  <r>
    <s v="TXN100366"/>
    <n v="57"/>
    <x v="6"/>
    <s v="Merchant_013"/>
    <x v="2"/>
    <s v="East"/>
    <d v="2026-01-08T01:36:00"/>
    <n v="149"/>
    <s v="UPI"/>
    <x v="0"/>
    <n v="2"/>
    <n v="0"/>
    <s v="Standard"/>
  </r>
  <r>
    <s v="TXN100367"/>
    <n v="78"/>
    <x v="1"/>
    <s v="Merchant_027"/>
    <x v="1"/>
    <s v="North"/>
    <d v="2026-01-15T10:26:00"/>
    <n v="1499"/>
    <s v="Netbanking"/>
    <x v="1"/>
    <n v="88"/>
    <n v="22.484999999999999"/>
    <s v="Standard"/>
  </r>
  <r>
    <s v="TXN100368"/>
    <n v="314"/>
    <x v="20"/>
    <s v="Merchant_031"/>
    <x v="0"/>
    <s v="East"/>
    <d v="2026-01-07T13:32:00"/>
    <n v="49"/>
    <s v="UPI"/>
    <x v="2"/>
    <n v="94"/>
    <n v="0"/>
    <s v="Standard"/>
  </r>
  <r>
    <s v="TXN100369"/>
    <n v="71"/>
    <x v="36"/>
    <s v="Merchant_034"/>
    <x v="2"/>
    <s v="South"/>
    <d v="2026-01-24T01:45:00"/>
    <n v="499"/>
    <s v="UPI"/>
    <x v="0"/>
    <n v="26"/>
    <n v="0"/>
    <s v="Standard"/>
  </r>
  <r>
    <s v="TXN100370"/>
    <n v="245"/>
    <x v="36"/>
    <s v="Merchant_034"/>
    <x v="2"/>
    <s v="South"/>
    <d v="2026-01-18T10:42:00"/>
    <n v="99"/>
    <s v="UPI"/>
    <x v="0"/>
    <n v="48"/>
    <n v="0"/>
    <s v="Standard"/>
  </r>
  <r>
    <s v="TXN100371"/>
    <n v="273"/>
    <x v="3"/>
    <s v="Merchant_022"/>
    <x v="2"/>
    <s v="South"/>
    <d v="2026-01-11T05:29:00"/>
    <n v="299"/>
    <s v="Wallet"/>
    <x v="0"/>
    <n v="69"/>
    <n v="3.2889999999999997"/>
    <s v="Standard"/>
  </r>
  <r>
    <s v="TXN100372"/>
    <n v="349"/>
    <x v="28"/>
    <s v="Merchant_017"/>
    <x v="3"/>
    <s v="North"/>
    <d v="2026-01-12T21:49:00"/>
    <n v="1499"/>
    <s v="UPI"/>
    <x v="0"/>
    <n v="78"/>
    <n v="0"/>
    <s v="Standard"/>
  </r>
  <r>
    <s v="TXN100373"/>
    <n v="143"/>
    <x v="25"/>
    <s v="Merchant_036"/>
    <x v="5"/>
    <s v="East"/>
    <d v="2026-01-16T06:15:00"/>
    <n v="1499"/>
    <s v="Netbanking"/>
    <x v="0"/>
    <n v="38"/>
    <n v="22.484999999999999"/>
    <s v="Standard"/>
  </r>
  <r>
    <s v="TXN100374"/>
    <n v="148"/>
    <x v="16"/>
    <s v="Merchant_014"/>
    <x v="3"/>
    <s v="East"/>
    <d v="2026-01-08T09:49:00"/>
    <n v="799"/>
    <s v="Wallet"/>
    <x v="0"/>
    <n v="88"/>
    <n v="8.7889999999999997"/>
    <s v="Standard"/>
  </r>
  <r>
    <s v="TXN100375"/>
    <n v="246"/>
    <x v="5"/>
    <s v="Merchant_023"/>
    <x v="2"/>
    <s v="North"/>
    <d v="2026-01-23T15:20:00"/>
    <n v="49"/>
    <s v="UPI"/>
    <x v="0"/>
    <n v="71"/>
    <n v="0"/>
    <s v="Standard"/>
  </r>
  <r>
    <s v="TXN100376"/>
    <n v="148"/>
    <x v="30"/>
    <s v="Merchant_008"/>
    <x v="6"/>
    <s v="North"/>
    <d v="2026-01-30T23:17:00"/>
    <n v="99"/>
    <s v="Wallet"/>
    <x v="0"/>
    <n v="73"/>
    <n v="1.089"/>
    <s v="Standard"/>
  </r>
  <r>
    <s v="TXN100377"/>
    <n v="203"/>
    <x v="5"/>
    <s v="Merchant_023"/>
    <x v="2"/>
    <s v="North"/>
    <d v="2026-01-22T17:24:00"/>
    <n v="49"/>
    <s v="UPI"/>
    <x v="0"/>
    <n v="98"/>
    <n v="0"/>
    <s v="Standard"/>
  </r>
  <r>
    <s v="TXN100378"/>
    <n v="22"/>
    <x v="13"/>
    <s v="Merchant_019"/>
    <x v="3"/>
    <s v="North"/>
    <d v="2026-01-26T04:18:00"/>
    <n v="49"/>
    <s v="Card"/>
    <x v="0"/>
    <n v="91"/>
    <n v="0.8819999999999999"/>
    <s v="Standard"/>
  </r>
  <r>
    <s v="TXN100379"/>
    <n v="227"/>
    <x v="28"/>
    <s v="Merchant_017"/>
    <x v="3"/>
    <s v="North"/>
    <d v="2026-01-03T11:59:00"/>
    <n v="299"/>
    <s v="Wallet"/>
    <x v="0"/>
    <n v="95"/>
    <n v="3.2889999999999997"/>
    <s v="Standard"/>
  </r>
  <r>
    <s v="TXN100380"/>
    <n v="276"/>
    <x v="7"/>
    <s v="Merchant_018"/>
    <x v="3"/>
    <s v="West"/>
    <d v="2026-01-16T06:12:00"/>
    <n v="149"/>
    <s v="Wallet"/>
    <x v="0"/>
    <n v="71"/>
    <n v="1.639"/>
    <s v="Standard"/>
  </r>
  <r>
    <s v="TXN100381"/>
    <n v="56"/>
    <x v="12"/>
    <s v="Merchant_040"/>
    <x v="5"/>
    <s v="South"/>
    <d v="2026-01-23T08:08:00"/>
    <n v="99"/>
    <s v="Card"/>
    <x v="0"/>
    <n v="94"/>
    <n v="1.7819999999999998"/>
    <s v="Standard"/>
  </r>
  <r>
    <s v="TXN100382"/>
    <n v="26"/>
    <x v="36"/>
    <s v="Merchant_034"/>
    <x v="2"/>
    <s v="South"/>
    <d v="2026-01-19T07:15:00"/>
    <n v="499"/>
    <s v="Card"/>
    <x v="0"/>
    <n v="28"/>
    <n v="8.9819999999999993"/>
    <s v="Standard"/>
  </r>
  <r>
    <s v="TXN100383"/>
    <n v="52"/>
    <x v="1"/>
    <s v="Merchant_027"/>
    <x v="1"/>
    <s v="North"/>
    <d v="2026-01-21T07:03:00"/>
    <n v="499"/>
    <s v="Card"/>
    <x v="0"/>
    <n v="42"/>
    <n v="8.9819999999999993"/>
    <s v="Standard"/>
  </r>
  <r>
    <s v="TXN100384"/>
    <n v="349"/>
    <x v="39"/>
    <s v="Merchant_009"/>
    <x v="1"/>
    <s v="North"/>
    <d v="2026-01-23T15:06:00"/>
    <n v="499"/>
    <s v="Wallet"/>
    <x v="0"/>
    <n v="0"/>
    <n v="5.4889999999999999"/>
    <s v="Standard"/>
  </r>
  <r>
    <s v="TXN100385"/>
    <n v="335"/>
    <x v="20"/>
    <s v="Merchant_031"/>
    <x v="0"/>
    <s v="East"/>
    <d v="2026-01-18T05:26:00"/>
    <n v="49"/>
    <s v="Card"/>
    <x v="0"/>
    <n v="61"/>
    <n v="0.8819999999999999"/>
    <s v="Standard"/>
  </r>
  <r>
    <s v="TXN100386"/>
    <n v="148"/>
    <x v="17"/>
    <s v="Merchant_021"/>
    <x v="6"/>
    <s v="East"/>
    <d v="2026-01-21T06:48:00"/>
    <n v="49"/>
    <s v="Card"/>
    <x v="0"/>
    <n v="36"/>
    <n v="0.8819999999999999"/>
    <s v="Standard"/>
  </r>
  <r>
    <s v="TXN100387"/>
    <n v="46"/>
    <x v="21"/>
    <s v="Merchant_037"/>
    <x v="5"/>
    <s v="South"/>
    <d v="2026-01-21T01:58:00"/>
    <n v="99"/>
    <s v="Wallet"/>
    <x v="0"/>
    <n v="29"/>
    <n v="1.089"/>
    <s v="Standard"/>
  </r>
  <r>
    <s v="TXN100388"/>
    <n v="20"/>
    <x v="9"/>
    <s v="Merchant_012"/>
    <x v="1"/>
    <s v="East"/>
    <d v="2026-01-18T23:46:00"/>
    <n v="799"/>
    <s v="Card"/>
    <x v="0"/>
    <n v="53"/>
    <n v="14.382"/>
    <s v="Standard"/>
  </r>
  <r>
    <s v="TXN100389"/>
    <n v="19"/>
    <x v="22"/>
    <s v="Merchant_026"/>
    <x v="6"/>
    <s v="East"/>
    <d v="2026-01-29T05:59:00"/>
    <n v="49"/>
    <s v="UPI"/>
    <x v="0"/>
    <n v="100"/>
    <n v="0"/>
    <s v="Standard"/>
  </r>
  <r>
    <s v="TXN100390"/>
    <n v="149"/>
    <x v="4"/>
    <s v="Merchant_003"/>
    <x v="3"/>
    <s v="East"/>
    <d v="2026-01-16T05:59:00"/>
    <n v="4999"/>
    <s v="Wallet"/>
    <x v="0"/>
    <n v="1"/>
    <n v="54.988999999999997"/>
    <s v="Standard"/>
  </r>
  <r>
    <s v="TXN100391"/>
    <n v="55"/>
    <x v="3"/>
    <s v="Merchant_022"/>
    <x v="2"/>
    <s v="South"/>
    <d v="2026-01-10T18:38:00"/>
    <n v="499"/>
    <s v="UPI"/>
    <x v="0"/>
    <n v="36"/>
    <n v="0"/>
    <s v="Standard"/>
  </r>
  <r>
    <s v="TXN100392"/>
    <n v="269"/>
    <x v="33"/>
    <s v="Merchant_032"/>
    <x v="6"/>
    <s v="West"/>
    <d v="2026-01-15T20:34:00"/>
    <n v="49"/>
    <s v="Card"/>
    <x v="0"/>
    <n v="17"/>
    <n v="0.8819999999999999"/>
    <s v="Standard"/>
  </r>
  <r>
    <s v="TXN100393"/>
    <n v="140"/>
    <x v="6"/>
    <s v="Merchant_013"/>
    <x v="2"/>
    <s v="East"/>
    <d v="2026-01-28T16:29:00"/>
    <n v="2999"/>
    <s v="UPI"/>
    <x v="0"/>
    <n v="14"/>
    <n v="0"/>
    <s v="Standard"/>
  </r>
  <r>
    <s v="TXN100394"/>
    <n v="235"/>
    <x v="28"/>
    <s v="Merchant_017"/>
    <x v="3"/>
    <s v="North"/>
    <d v="2026-01-11T05:46:00"/>
    <n v="2999"/>
    <s v="UPI"/>
    <x v="0"/>
    <n v="91"/>
    <n v="0"/>
    <s v="Standard"/>
  </r>
  <r>
    <s v="TXN100395"/>
    <n v="173"/>
    <x v="13"/>
    <s v="Merchant_019"/>
    <x v="3"/>
    <s v="North"/>
    <d v="2026-01-06T00:47:00"/>
    <n v="499"/>
    <s v="UPI"/>
    <x v="1"/>
    <n v="72"/>
    <n v="0"/>
    <s v="Standard"/>
  </r>
  <r>
    <s v="TXN100396"/>
    <n v="313"/>
    <x v="22"/>
    <s v="Merchant_026"/>
    <x v="6"/>
    <s v="East"/>
    <d v="2026-01-22T06:11:00"/>
    <n v="499"/>
    <s v="UPI"/>
    <x v="0"/>
    <n v="54"/>
    <n v="0"/>
    <s v="Standard"/>
  </r>
  <r>
    <s v="TXN100397"/>
    <n v="206"/>
    <x v="23"/>
    <s v="Merchant_007"/>
    <x v="6"/>
    <s v="East"/>
    <d v="2026-01-17T10:05:00"/>
    <n v="149"/>
    <s v="Wallet"/>
    <x v="0"/>
    <n v="23"/>
    <n v="1.639"/>
    <s v="Standard"/>
  </r>
  <r>
    <s v="TXN100398"/>
    <n v="128"/>
    <x v="37"/>
    <s v="Merchant_001"/>
    <x v="1"/>
    <s v="South"/>
    <d v="2026-01-05T15:20:00"/>
    <n v="1499"/>
    <s v="Netbanking"/>
    <x v="0"/>
    <n v="33"/>
    <n v="22.484999999999999"/>
    <s v="Standard"/>
  </r>
  <r>
    <s v="TXN100399"/>
    <n v="137"/>
    <x v="3"/>
    <s v="Merchant_022"/>
    <x v="2"/>
    <s v="South"/>
    <d v="2026-01-13T07:28:00"/>
    <n v="799"/>
    <s v="UPI"/>
    <x v="1"/>
    <n v="38"/>
    <n v="0"/>
    <s v="Standard"/>
  </r>
  <r>
    <s v="TXN100400"/>
    <n v="6"/>
    <x v="28"/>
    <s v="Merchant_017"/>
    <x v="3"/>
    <s v="North"/>
    <d v="2026-01-19T23:36:00"/>
    <n v="49"/>
    <s v="UPI"/>
    <x v="0"/>
    <n v="83"/>
    <n v="0"/>
    <s v="Standard"/>
  </r>
  <r>
    <s v="TXN100401"/>
    <n v="32"/>
    <x v="30"/>
    <s v="Merchant_008"/>
    <x v="6"/>
    <s v="North"/>
    <d v="2026-01-12T22:15:00"/>
    <n v="299"/>
    <s v="Card"/>
    <x v="0"/>
    <n v="59"/>
    <n v="5.3819999999999997"/>
    <s v="Standard"/>
  </r>
  <r>
    <s v="TXN100402"/>
    <n v="258"/>
    <x v="15"/>
    <s v="Merchant_020"/>
    <x v="6"/>
    <s v="East"/>
    <d v="2026-01-10T05:25:00"/>
    <n v="149"/>
    <s v="UPI"/>
    <x v="0"/>
    <n v="88"/>
    <n v="0"/>
    <s v="Standard"/>
  </r>
  <r>
    <s v="TXN100403"/>
    <n v="152"/>
    <x v="31"/>
    <s v="Merchant_024"/>
    <x v="3"/>
    <s v="North"/>
    <d v="2026-01-04T20:58:00"/>
    <n v="149"/>
    <s v="UPI"/>
    <x v="2"/>
    <n v="78"/>
    <n v="0"/>
    <s v="Standard"/>
  </r>
  <r>
    <s v="TXN100404"/>
    <n v="245"/>
    <x v="34"/>
    <s v="Merchant_010"/>
    <x v="3"/>
    <s v="West"/>
    <d v="2026-01-08T07:08:00"/>
    <n v="799"/>
    <s v="Wallet"/>
    <x v="0"/>
    <n v="58"/>
    <n v="8.7889999999999997"/>
    <s v="Standard"/>
  </r>
  <r>
    <s v="TXN100405"/>
    <n v="213"/>
    <x v="25"/>
    <s v="Merchant_036"/>
    <x v="5"/>
    <s v="East"/>
    <d v="2026-01-24T19:23:00"/>
    <n v="49"/>
    <s v="Wallet"/>
    <x v="0"/>
    <n v="60"/>
    <n v="0.53899999999999992"/>
    <s v="Standard"/>
  </r>
  <r>
    <s v="TXN100406"/>
    <n v="341"/>
    <x v="16"/>
    <s v="Merchant_014"/>
    <x v="3"/>
    <s v="East"/>
    <d v="2026-01-25T17:51:00"/>
    <n v="99"/>
    <s v="Netbanking"/>
    <x v="0"/>
    <n v="97"/>
    <n v="1.4849999999999999"/>
    <s v="Standard"/>
  </r>
  <r>
    <s v="TXN100407"/>
    <n v="306"/>
    <x v="18"/>
    <s v="Merchant_006"/>
    <x v="6"/>
    <s v="South"/>
    <d v="2026-01-08T21:48:00"/>
    <n v="149"/>
    <s v="Netbanking"/>
    <x v="0"/>
    <n v="67"/>
    <n v="2.2349999999999999"/>
    <s v="Standard"/>
  </r>
  <r>
    <s v="TXN100408"/>
    <n v="186"/>
    <x v="32"/>
    <s v="Merchant_005"/>
    <x v="4"/>
    <s v="South"/>
    <d v="2026-01-15T16:45:00"/>
    <n v="499"/>
    <s v="UPI"/>
    <x v="0"/>
    <n v="72"/>
    <n v="0"/>
    <s v="Standard"/>
  </r>
  <r>
    <s v="TXN100409"/>
    <n v="281"/>
    <x v="11"/>
    <s v="Merchant_033"/>
    <x v="0"/>
    <s v="East"/>
    <d v="2026-01-04T01:53:00"/>
    <n v="4999"/>
    <s v="UPI"/>
    <x v="0"/>
    <n v="25"/>
    <n v="0"/>
    <s v="Standard"/>
  </r>
  <r>
    <s v="TXN100410"/>
    <n v="85"/>
    <x v="17"/>
    <s v="Merchant_021"/>
    <x v="6"/>
    <s v="East"/>
    <d v="2026-01-19T17:09:00"/>
    <n v="99"/>
    <s v="UPI"/>
    <x v="0"/>
    <n v="66"/>
    <n v="0"/>
    <s v="Standard"/>
  </r>
  <r>
    <s v="TXN100411"/>
    <n v="106"/>
    <x v="35"/>
    <s v="Merchant_038"/>
    <x v="3"/>
    <s v="East"/>
    <d v="2026-01-15T03:43:00"/>
    <n v="499"/>
    <s v="UPI"/>
    <x v="0"/>
    <n v="62"/>
    <n v="0"/>
    <s v="Standard"/>
  </r>
  <r>
    <s v="TXN100412"/>
    <n v="29"/>
    <x v="24"/>
    <s v="Merchant_030"/>
    <x v="2"/>
    <s v="West"/>
    <d v="2026-01-03T16:28:00"/>
    <n v="149"/>
    <s v="Netbanking"/>
    <x v="0"/>
    <n v="16"/>
    <n v="2.2349999999999999"/>
    <s v="Standard"/>
  </r>
  <r>
    <s v="TXN100413"/>
    <n v="289"/>
    <x v="29"/>
    <s v="Merchant_004"/>
    <x v="1"/>
    <s v="East"/>
    <d v="2026-01-17T13:29:00"/>
    <n v="1499"/>
    <s v="Card"/>
    <x v="0"/>
    <n v="71"/>
    <n v="26.981999999999999"/>
    <s v="Standard"/>
  </r>
  <r>
    <s v="TXN100414"/>
    <n v="158"/>
    <x v="27"/>
    <s v="Merchant_002"/>
    <x v="3"/>
    <s v="West"/>
    <d v="2026-01-15T21:51:00"/>
    <n v="1499"/>
    <s v="Card"/>
    <x v="0"/>
    <n v="50"/>
    <n v="26.981999999999999"/>
    <s v="Standard"/>
  </r>
  <r>
    <s v="TXN100415"/>
    <n v="112"/>
    <x v="35"/>
    <s v="Merchant_038"/>
    <x v="3"/>
    <s v="East"/>
    <d v="2026-01-09T00:47:00"/>
    <n v="49"/>
    <s v="UPI"/>
    <x v="0"/>
    <n v="9"/>
    <n v="0"/>
    <s v="Standard"/>
  </r>
  <r>
    <s v="TXN100416"/>
    <n v="33"/>
    <x v="8"/>
    <s v="Merchant_035"/>
    <x v="4"/>
    <s v="East"/>
    <d v="2026-01-02T13:22:00"/>
    <n v="299"/>
    <s v="Card"/>
    <x v="1"/>
    <n v="7"/>
    <n v="5.3819999999999997"/>
    <s v="Standard"/>
  </r>
  <r>
    <s v="TXN100417"/>
    <n v="242"/>
    <x v="4"/>
    <s v="Merchant_003"/>
    <x v="3"/>
    <s v="East"/>
    <d v="2026-01-30T02:59:00"/>
    <n v="49"/>
    <s v="UPI"/>
    <x v="0"/>
    <n v="36"/>
    <n v="0"/>
    <s v="Standard"/>
  </r>
  <r>
    <s v="TXN100418"/>
    <n v="70"/>
    <x v="1"/>
    <s v="Merchant_027"/>
    <x v="1"/>
    <s v="North"/>
    <d v="2026-01-14T05:49:00"/>
    <n v="149"/>
    <s v="UPI"/>
    <x v="0"/>
    <n v="47"/>
    <n v="0"/>
    <s v="Standard"/>
  </r>
  <r>
    <s v="TXN100419"/>
    <n v="194"/>
    <x v="14"/>
    <s v="Merchant_025"/>
    <x v="2"/>
    <s v="South"/>
    <d v="2026-01-29T12:28:00"/>
    <n v="49"/>
    <s v="Wallet"/>
    <x v="0"/>
    <n v="10"/>
    <n v="0.53899999999999992"/>
    <s v="Standard"/>
  </r>
  <r>
    <s v="TXN100420"/>
    <n v="277"/>
    <x v="39"/>
    <s v="Merchant_009"/>
    <x v="1"/>
    <s v="North"/>
    <d v="2026-01-22T21:55:00"/>
    <n v="799"/>
    <s v="UPI"/>
    <x v="0"/>
    <n v="83"/>
    <n v="0"/>
    <s v="Standard"/>
  </r>
  <r>
    <s v="TXN100421"/>
    <n v="92"/>
    <x v="8"/>
    <s v="Merchant_035"/>
    <x v="4"/>
    <s v="East"/>
    <d v="2026-01-28T11:07:00"/>
    <n v="49"/>
    <s v="UPI"/>
    <x v="0"/>
    <n v="50"/>
    <n v="0"/>
    <s v="Standard"/>
  </r>
  <r>
    <s v="TXN100422"/>
    <n v="115"/>
    <x v="37"/>
    <s v="Merchant_001"/>
    <x v="1"/>
    <s v="South"/>
    <d v="2026-01-17T04:46:00"/>
    <n v="149"/>
    <s v="Wallet"/>
    <x v="0"/>
    <n v="96"/>
    <n v="1.639"/>
    <s v="Standard"/>
  </r>
  <r>
    <s v="TXN100423"/>
    <n v="345"/>
    <x v="8"/>
    <s v="Merchant_035"/>
    <x v="4"/>
    <s v="East"/>
    <d v="2026-01-01T09:29:00"/>
    <n v="499"/>
    <s v="Card"/>
    <x v="0"/>
    <n v="54"/>
    <n v="8.9819999999999993"/>
    <s v="Standard"/>
  </r>
  <r>
    <s v="TXN100424"/>
    <n v="118"/>
    <x v="0"/>
    <s v="Merchant_016"/>
    <x v="0"/>
    <s v="West"/>
    <d v="2026-01-18T12:52:00"/>
    <n v="49"/>
    <s v="UPI"/>
    <x v="0"/>
    <n v="58"/>
    <n v="0"/>
    <s v="Standard"/>
  </r>
  <r>
    <s v="TXN100425"/>
    <n v="97"/>
    <x v="30"/>
    <s v="Merchant_008"/>
    <x v="6"/>
    <s v="North"/>
    <d v="2026-01-12T04:17:00"/>
    <n v="99"/>
    <s v="Netbanking"/>
    <x v="0"/>
    <n v="4"/>
    <n v="1.4849999999999999"/>
    <s v="Standard"/>
  </r>
  <r>
    <s v="TXN100426"/>
    <n v="315"/>
    <x v="27"/>
    <s v="Merchant_002"/>
    <x v="3"/>
    <s v="West"/>
    <d v="2026-01-26T21:26:00"/>
    <n v="299"/>
    <s v="Wallet"/>
    <x v="0"/>
    <n v="30"/>
    <n v="3.2889999999999997"/>
    <s v="Standard"/>
  </r>
  <r>
    <s v="TXN100427"/>
    <n v="305"/>
    <x v="4"/>
    <s v="Merchant_003"/>
    <x v="3"/>
    <s v="East"/>
    <d v="2026-01-07T02:06:00"/>
    <n v="299"/>
    <s v="UPI"/>
    <x v="0"/>
    <n v="57"/>
    <n v="0"/>
    <s v="Standard"/>
  </r>
  <r>
    <s v="TXN100428"/>
    <n v="25"/>
    <x v="0"/>
    <s v="Merchant_016"/>
    <x v="0"/>
    <s v="West"/>
    <d v="2026-01-20T21:45:00"/>
    <n v="299"/>
    <s v="UPI"/>
    <x v="0"/>
    <n v="94"/>
    <n v="0"/>
    <s v="Standard"/>
  </r>
  <r>
    <s v="TXN100429"/>
    <n v="120"/>
    <x v="8"/>
    <s v="Merchant_035"/>
    <x v="4"/>
    <s v="East"/>
    <d v="2026-01-02T12:28:00"/>
    <n v="49"/>
    <s v="UPI"/>
    <x v="0"/>
    <n v="27"/>
    <n v="0"/>
    <s v="Standard"/>
  </r>
  <r>
    <s v="TXN100430"/>
    <n v="258"/>
    <x v="13"/>
    <s v="Merchant_019"/>
    <x v="3"/>
    <s v="North"/>
    <d v="2026-01-25T01:08:00"/>
    <n v="49"/>
    <s v="Wallet"/>
    <x v="0"/>
    <n v="29"/>
    <n v="0.53899999999999992"/>
    <s v="Standard"/>
  </r>
  <r>
    <s v="TXN100431"/>
    <n v="164"/>
    <x v="21"/>
    <s v="Merchant_037"/>
    <x v="5"/>
    <s v="South"/>
    <d v="2026-01-27T23:36:00"/>
    <n v="799"/>
    <s v="UPI"/>
    <x v="0"/>
    <n v="76"/>
    <n v="0"/>
    <s v="Standard"/>
  </r>
  <r>
    <s v="TXN100432"/>
    <n v="165"/>
    <x v="0"/>
    <s v="Merchant_016"/>
    <x v="0"/>
    <s v="West"/>
    <d v="2026-01-25T21:52:00"/>
    <n v="49"/>
    <s v="Wallet"/>
    <x v="0"/>
    <n v="38"/>
    <n v="0.53899999999999992"/>
    <s v="Standard"/>
  </r>
  <r>
    <s v="TXN100433"/>
    <n v="267"/>
    <x v="19"/>
    <s v="Merchant_015"/>
    <x v="2"/>
    <s v="North"/>
    <d v="2026-01-29T04:42:00"/>
    <n v="49"/>
    <s v="Netbanking"/>
    <x v="0"/>
    <n v="52"/>
    <n v="0.73499999999999999"/>
    <s v="Standard"/>
  </r>
  <r>
    <s v="TXN100434"/>
    <n v="286"/>
    <x v="35"/>
    <s v="Merchant_038"/>
    <x v="3"/>
    <s v="East"/>
    <d v="2026-01-10T08:03:00"/>
    <n v="299"/>
    <s v="Wallet"/>
    <x v="0"/>
    <n v="94"/>
    <n v="3.2889999999999997"/>
    <s v="Standard"/>
  </r>
  <r>
    <s v="TXN100435"/>
    <n v="348"/>
    <x v="10"/>
    <s v="Merchant_028"/>
    <x v="1"/>
    <s v="South"/>
    <d v="2026-01-30T05:40:00"/>
    <n v="499"/>
    <s v="Card"/>
    <x v="0"/>
    <n v="71"/>
    <n v="8.9819999999999993"/>
    <s v="Standard"/>
  </r>
  <r>
    <s v="TXN100436"/>
    <n v="330"/>
    <x v="14"/>
    <s v="Merchant_025"/>
    <x v="2"/>
    <s v="South"/>
    <d v="2026-01-16T01:22:00"/>
    <n v="799"/>
    <s v="UPI"/>
    <x v="0"/>
    <n v="100"/>
    <n v="0"/>
    <s v="Standard"/>
  </r>
  <r>
    <s v="TXN100437"/>
    <n v="214"/>
    <x v="1"/>
    <s v="Merchant_027"/>
    <x v="1"/>
    <s v="North"/>
    <d v="2026-01-17T10:44:00"/>
    <n v="299"/>
    <s v="Card"/>
    <x v="0"/>
    <n v="19"/>
    <n v="5.3819999999999997"/>
    <s v="Standard"/>
  </r>
  <r>
    <s v="TXN100438"/>
    <n v="276"/>
    <x v="20"/>
    <s v="Merchant_031"/>
    <x v="0"/>
    <s v="East"/>
    <d v="2026-01-10T12:11:00"/>
    <n v="499"/>
    <s v="UPI"/>
    <x v="0"/>
    <n v="30"/>
    <n v="0"/>
    <s v="Standard"/>
  </r>
  <r>
    <s v="TXN100439"/>
    <n v="74"/>
    <x v="24"/>
    <s v="Merchant_030"/>
    <x v="2"/>
    <s v="West"/>
    <d v="2026-01-28T07:19:00"/>
    <n v="49"/>
    <s v="UPI"/>
    <x v="0"/>
    <n v="7"/>
    <n v="0"/>
    <s v="Standard"/>
  </r>
  <r>
    <s v="TXN100440"/>
    <n v="286"/>
    <x v="36"/>
    <s v="Merchant_034"/>
    <x v="2"/>
    <s v="South"/>
    <d v="2026-01-18T13:26:00"/>
    <n v="49"/>
    <s v="Card"/>
    <x v="0"/>
    <n v="17"/>
    <n v="0.8819999999999999"/>
    <s v="Standard"/>
  </r>
  <r>
    <s v="TXN100441"/>
    <n v="105"/>
    <x v="3"/>
    <s v="Merchant_022"/>
    <x v="2"/>
    <s v="South"/>
    <d v="2026-01-13T07:16:00"/>
    <n v="4999"/>
    <s v="UPI"/>
    <x v="0"/>
    <n v="82"/>
    <n v="0"/>
    <s v="Standard"/>
  </r>
  <r>
    <s v="TXN100442"/>
    <n v="190"/>
    <x v="18"/>
    <s v="Merchant_006"/>
    <x v="6"/>
    <s v="South"/>
    <d v="2026-01-03T14:54:00"/>
    <n v="799"/>
    <s v="Wallet"/>
    <x v="0"/>
    <n v="68"/>
    <n v="8.7889999999999997"/>
    <s v="Standard"/>
  </r>
  <r>
    <s v="TXN100443"/>
    <n v="138"/>
    <x v="14"/>
    <s v="Merchant_025"/>
    <x v="2"/>
    <s v="South"/>
    <d v="2026-01-24T06:03:00"/>
    <n v="299"/>
    <s v="Wallet"/>
    <x v="0"/>
    <n v="86"/>
    <n v="3.2889999999999997"/>
    <s v="Standard"/>
  </r>
  <r>
    <s v="TXN100444"/>
    <n v="38"/>
    <x v="6"/>
    <s v="Merchant_013"/>
    <x v="2"/>
    <s v="East"/>
    <d v="2026-01-20T19:02:00"/>
    <n v="4999"/>
    <s v="Netbanking"/>
    <x v="0"/>
    <n v="97"/>
    <n v="74.984999999999999"/>
    <s v="Standard"/>
  </r>
  <r>
    <s v="TXN100445"/>
    <n v="287"/>
    <x v="16"/>
    <s v="Merchant_014"/>
    <x v="3"/>
    <s v="East"/>
    <d v="2026-01-19T23:42:00"/>
    <n v="99"/>
    <s v="Wallet"/>
    <x v="0"/>
    <n v="61"/>
    <n v="1.089"/>
    <s v="Standard"/>
  </r>
  <r>
    <s v="TXN100446"/>
    <n v="8"/>
    <x v="16"/>
    <s v="Merchant_014"/>
    <x v="3"/>
    <s v="East"/>
    <d v="2026-01-07T10:19:00"/>
    <n v="49"/>
    <s v="UPI"/>
    <x v="0"/>
    <n v="24"/>
    <n v="0"/>
    <s v="Standard"/>
  </r>
  <r>
    <s v="TXN100447"/>
    <n v="246"/>
    <x v="0"/>
    <s v="Merchant_016"/>
    <x v="0"/>
    <s v="West"/>
    <d v="2026-01-24T03:47:00"/>
    <n v="1499"/>
    <s v="Wallet"/>
    <x v="0"/>
    <n v="89"/>
    <n v="16.489000000000001"/>
    <s v="Standard"/>
  </r>
  <r>
    <s v="TXN100448"/>
    <n v="204"/>
    <x v="0"/>
    <s v="Merchant_016"/>
    <x v="0"/>
    <s v="West"/>
    <d v="2026-01-20T22:13:00"/>
    <n v="149"/>
    <s v="UPI"/>
    <x v="0"/>
    <n v="70"/>
    <n v="0"/>
    <s v="Standard"/>
  </r>
  <r>
    <s v="TXN100449"/>
    <n v="239"/>
    <x v="8"/>
    <s v="Merchant_035"/>
    <x v="4"/>
    <s v="East"/>
    <d v="2026-01-11T09:24:00"/>
    <n v="4999"/>
    <s v="UPI"/>
    <x v="0"/>
    <n v="83"/>
    <n v="0"/>
    <s v="Standard"/>
  </r>
  <r>
    <s v="TXN100450"/>
    <n v="185"/>
    <x v="11"/>
    <s v="Merchant_033"/>
    <x v="0"/>
    <s v="East"/>
    <d v="2026-01-12T09:16:00"/>
    <n v="299"/>
    <s v="UPI"/>
    <x v="0"/>
    <n v="63"/>
    <n v="0"/>
    <s v="Standard"/>
  </r>
  <r>
    <s v="TXN100451"/>
    <n v="241"/>
    <x v="17"/>
    <s v="Merchant_021"/>
    <x v="6"/>
    <s v="East"/>
    <d v="2026-01-15T03:51:00"/>
    <n v="299"/>
    <s v="Card"/>
    <x v="0"/>
    <n v="26"/>
    <n v="5.3819999999999997"/>
    <s v="Standard"/>
  </r>
  <r>
    <s v="TXN100452"/>
    <n v="24"/>
    <x v="21"/>
    <s v="Merchant_037"/>
    <x v="5"/>
    <s v="South"/>
    <d v="2026-01-12T10:26:00"/>
    <n v="149"/>
    <s v="UPI"/>
    <x v="0"/>
    <n v="28"/>
    <n v="0"/>
    <s v="Standard"/>
  </r>
  <r>
    <s v="TXN100453"/>
    <n v="134"/>
    <x v="25"/>
    <s v="Merchant_036"/>
    <x v="5"/>
    <s v="East"/>
    <d v="2026-01-24T04:01:00"/>
    <n v="1499"/>
    <s v="UPI"/>
    <x v="0"/>
    <n v="74"/>
    <n v="0"/>
    <s v="Standard"/>
  </r>
  <r>
    <s v="TXN100454"/>
    <n v="152"/>
    <x v="34"/>
    <s v="Merchant_010"/>
    <x v="3"/>
    <s v="West"/>
    <d v="2026-01-19T23:26:00"/>
    <n v="499"/>
    <s v="Wallet"/>
    <x v="0"/>
    <n v="25"/>
    <n v="5.4889999999999999"/>
    <s v="Standard"/>
  </r>
  <r>
    <s v="TXN100455"/>
    <n v="292"/>
    <x v="0"/>
    <s v="Merchant_016"/>
    <x v="0"/>
    <s v="West"/>
    <d v="2026-01-11T07:24:00"/>
    <n v="499"/>
    <s v="Netbanking"/>
    <x v="0"/>
    <n v="63"/>
    <n v="7.4849999999999994"/>
    <s v="Standard"/>
  </r>
  <r>
    <s v="TXN100456"/>
    <n v="173"/>
    <x v="28"/>
    <s v="Merchant_017"/>
    <x v="3"/>
    <s v="North"/>
    <d v="2026-01-18T20:43:00"/>
    <n v="99"/>
    <s v="Netbanking"/>
    <x v="0"/>
    <n v="97"/>
    <n v="1.4849999999999999"/>
    <s v="Standard"/>
  </r>
  <r>
    <s v="TXN100457"/>
    <n v="329"/>
    <x v="33"/>
    <s v="Merchant_032"/>
    <x v="6"/>
    <s v="West"/>
    <d v="2026-01-27T15:46:00"/>
    <n v="1499"/>
    <s v="UPI"/>
    <x v="0"/>
    <n v="58"/>
    <n v="0"/>
    <s v="Standard"/>
  </r>
  <r>
    <s v="TXN100458"/>
    <n v="181"/>
    <x v="2"/>
    <s v="Merchant_011"/>
    <x v="1"/>
    <s v="North"/>
    <d v="2026-01-06T23:50:00"/>
    <n v="1499"/>
    <s v="UPI"/>
    <x v="0"/>
    <n v="17"/>
    <n v="0"/>
    <s v="Standard"/>
  </r>
  <r>
    <s v="TXN100459"/>
    <n v="95"/>
    <x v="8"/>
    <s v="Merchant_035"/>
    <x v="4"/>
    <s v="East"/>
    <d v="2026-01-24T17:31:00"/>
    <n v="149"/>
    <s v="Wallet"/>
    <x v="0"/>
    <n v="82"/>
    <n v="1.639"/>
    <s v="Standard"/>
  </r>
  <r>
    <s v="TXN100460"/>
    <n v="39"/>
    <x v="29"/>
    <s v="Merchant_004"/>
    <x v="1"/>
    <s v="East"/>
    <d v="2026-01-02T16:02:00"/>
    <n v="149"/>
    <s v="Netbanking"/>
    <x v="0"/>
    <n v="97"/>
    <n v="2.2349999999999999"/>
    <s v="Standard"/>
  </r>
  <r>
    <s v="TXN100461"/>
    <n v="323"/>
    <x v="19"/>
    <s v="Merchant_015"/>
    <x v="2"/>
    <s v="North"/>
    <d v="2026-01-01T13:08:00"/>
    <n v="499"/>
    <s v="UPI"/>
    <x v="0"/>
    <n v="8"/>
    <n v="0"/>
    <s v="Standard"/>
  </r>
  <r>
    <s v="TXN100462"/>
    <n v="112"/>
    <x v="11"/>
    <s v="Merchant_033"/>
    <x v="0"/>
    <s v="East"/>
    <d v="2026-01-23T04:00:00"/>
    <n v="49"/>
    <s v="Netbanking"/>
    <x v="0"/>
    <n v="58"/>
    <n v="0.73499999999999999"/>
    <s v="Standard"/>
  </r>
  <r>
    <s v="TXN100463"/>
    <n v="327"/>
    <x v="12"/>
    <s v="Merchant_040"/>
    <x v="5"/>
    <s v="South"/>
    <d v="2026-01-12T01:39:00"/>
    <n v="99"/>
    <s v="UPI"/>
    <x v="0"/>
    <n v="61"/>
    <n v="0"/>
    <s v="Standard"/>
  </r>
  <r>
    <s v="TXN100464"/>
    <n v="4"/>
    <x v="8"/>
    <s v="Merchant_035"/>
    <x v="4"/>
    <s v="East"/>
    <d v="2026-01-22T15:01:00"/>
    <n v="299"/>
    <s v="UPI"/>
    <x v="0"/>
    <n v="70"/>
    <n v="0"/>
    <s v="Standard"/>
  </r>
  <r>
    <s v="TXN100465"/>
    <n v="272"/>
    <x v="7"/>
    <s v="Merchant_018"/>
    <x v="3"/>
    <s v="West"/>
    <d v="2026-01-14T00:01:00"/>
    <n v="149"/>
    <s v="UPI"/>
    <x v="0"/>
    <n v="68"/>
    <n v="0"/>
    <s v="Standard"/>
  </r>
  <r>
    <s v="TXN100466"/>
    <n v="346"/>
    <x v="10"/>
    <s v="Merchant_028"/>
    <x v="1"/>
    <s v="South"/>
    <d v="2026-01-10T00:32:00"/>
    <n v="499"/>
    <s v="UPI"/>
    <x v="0"/>
    <n v="22"/>
    <n v="0"/>
    <s v="Standard"/>
  </r>
  <r>
    <s v="TXN100467"/>
    <n v="77"/>
    <x v="0"/>
    <s v="Merchant_016"/>
    <x v="0"/>
    <s v="West"/>
    <d v="2026-01-04T03:33:00"/>
    <n v="49"/>
    <s v="Wallet"/>
    <x v="0"/>
    <n v="24"/>
    <n v="0.53899999999999992"/>
    <s v="Standard"/>
  </r>
  <r>
    <s v="TXN100468"/>
    <n v="182"/>
    <x v="7"/>
    <s v="Merchant_018"/>
    <x v="3"/>
    <s v="West"/>
    <d v="2026-01-20T16:16:00"/>
    <n v="149"/>
    <s v="Card"/>
    <x v="0"/>
    <n v="50"/>
    <n v="2.6819999999999999"/>
    <s v="Standard"/>
  </r>
  <r>
    <s v="TXN100469"/>
    <n v="236"/>
    <x v="21"/>
    <s v="Merchant_037"/>
    <x v="5"/>
    <s v="South"/>
    <d v="2026-01-03T11:25:00"/>
    <n v="299"/>
    <s v="Card"/>
    <x v="0"/>
    <n v="31"/>
    <n v="5.3819999999999997"/>
    <s v="Standard"/>
  </r>
  <r>
    <s v="TXN100470"/>
    <n v="42"/>
    <x v="4"/>
    <s v="Merchant_003"/>
    <x v="3"/>
    <s v="East"/>
    <d v="2026-01-23T07:19:00"/>
    <n v="49"/>
    <s v="UPI"/>
    <x v="0"/>
    <n v="11"/>
    <n v="0"/>
    <s v="Standard"/>
  </r>
  <r>
    <s v="TXN100471"/>
    <n v="283"/>
    <x v="20"/>
    <s v="Merchant_031"/>
    <x v="0"/>
    <s v="East"/>
    <d v="2026-01-13T12:24:00"/>
    <n v="299"/>
    <s v="Netbanking"/>
    <x v="0"/>
    <n v="7"/>
    <n v="4.4849999999999994"/>
    <s v="Standard"/>
  </r>
  <r>
    <s v="TXN100472"/>
    <n v="88"/>
    <x v="18"/>
    <s v="Merchant_006"/>
    <x v="6"/>
    <s v="South"/>
    <d v="2026-01-21T00:44:00"/>
    <n v="49"/>
    <s v="UPI"/>
    <x v="0"/>
    <n v="63"/>
    <n v="0"/>
    <s v="Standard"/>
  </r>
  <r>
    <s v="TXN100473"/>
    <n v="170"/>
    <x v="21"/>
    <s v="Merchant_037"/>
    <x v="5"/>
    <s v="South"/>
    <d v="2026-01-28T13:41:00"/>
    <n v="99"/>
    <s v="UPI"/>
    <x v="1"/>
    <n v="12"/>
    <n v="0"/>
    <s v="Standard"/>
  </r>
  <r>
    <s v="TXN100474"/>
    <n v="22"/>
    <x v="19"/>
    <s v="Merchant_015"/>
    <x v="2"/>
    <s v="North"/>
    <d v="2026-01-29T16:58:00"/>
    <n v="49"/>
    <s v="Netbanking"/>
    <x v="0"/>
    <n v="27"/>
    <n v="0.73499999999999999"/>
    <s v="Standard"/>
  </r>
  <r>
    <s v="TXN100475"/>
    <n v="291"/>
    <x v="20"/>
    <s v="Merchant_031"/>
    <x v="0"/>
    <s v="East"/>
    <d v="2026-01-29T22:56:00"/>
    <n v="49"/>
    <s v="Netbanking"/>
    <x v="1"/>
    <n v="34"/>
    <n v="0.73499999999999999"/>
    <s v="Standard"/>
  </r>
  <r>
    <s v="TXN100476"/>
    <n v="144"/>
    <x v="8"/>
    <s v="Merchant_035"/>
    <x v="4"/>
    <s v="East"/>
    <d v="2026-01-02T02:43:00"/>
    <n v="1499"/>
    <s v="UPI"/>
    <x v="0"/>
    <n v="72"/>
    <n v="0"/>
    <s v="Standard"/>
  </r>
  <r>
    <s v="TXN100477"/>
    <n v="162"/>
    <x v="27"/>
    <s v="Merchant_002"/>
    <x v="3"/>
    <s v="West"/>
    <d v="2026-01-22T01:11:00"/>
    <n v="299"/>
    <s v="Wallet"/>
    <x v="0"/>
    <n v="26"/>
    <n v="3.2889999999999997"/>
    <s v="Standard"/>
  </r>
  <r>
    <s v="TXN100478"/>
    <n v="204"/>
    <x v="32"/>
    <s v="Merchant_005"/>
    <x v="4"/>
    <s v="South"/>
    <d v="2026-01-19T04:48:00"/>
    <n v="49"/>
    <s v="UPI"/>
    <x v="0"/>
    <n v="38"/>
    <n v="0"/>
    <s v="Standard"/>
  </r>
  <r>
    <s v="TXN100479"/>
    <n v="291"/>
    <x v="14"/>
    <s v="Merchant_025"/>
    <x v="2"/>
    <s v="South"/>
    <d v="2026-01-06T18:15:00"/>
    <n v="99"/>
    <s v="Wallet"/>
    <x v="0"/>
    <n v="86"/>
    <n v="1.089"/>
    <s v="Standard"/>
  </r>
  <r>
    <s v="TXN100480"/>
    <n v="197"/>
    <x v="39"/>
    <s v="Merchant_009"/>
    <x v="1"/>
    <s v="North"/>
    <d v="2026-01-29T17:21:00"/>
    <n v="49"/>
    <s v="Wallet"/>
    <x v="1"/>
    <n v="88"/>
    <n v="0.53899999999999992"/>
    <s v="Standard"/>
  </r>
  <r>
    <s v="TXN100481"/>
    <n v="178"/>
    <x v="29"/>
    <s v="Merchant_004"/>
    <x v="1"/>
    <s v="East"/>
    <d v="2026-01-24T02:32:00"/>
    <n v="1499"/>
    <s v="UPI"/>
    <x v="0"/>
    <n v="12"/>
    <n v="0"/>
    <s v="Standard"/>
  </r>
  <r>
    <s v="TXN100482"/>
    <n v="39"/>
    <x v="3"/>
    <s v="Merchant_022"/>
    <x v="2"/>
    <s v="South"/>
    <d v="2026-01-14T07:53:00"/>
    <n v="799"/>
    <s v="Netbanking"/>
    <x v="0"/>
    <n v="77"/>
    <n v="11.984999999999999"/>
    <s v="Standard"/>
  </r>
  <r>
    <s v="TXN100483"/>
    <n v="204"/>
    <x v="17"/>
    <s v="Merchant_021"/>
    <x v="6"/>
    <s v="East"/>
    <d v="2026-01-25T19:38:00"/>
    <n v="299"/>
    <s v="Wallet"/>
    <x v="0"/>
    <n v="3"/>
    <n v="3.2889999999999997"/>
    <s v="Standard"/>
  </r>
  <r>
    <s v="TXN100484"/>
    <n v="231"/>
    <x v="33"/>
    <s v="Merchant_032"/>
    <x v="6"/>
    <s v="West"/>
    <d v="2026-01-21T08:50:00"/>
    <n v="299"/>
    <s v="UPI"/>
    <x v="0"/>
    <n v="29"/>
    <n v="0"/>
    <s v="Standard"/>
  </r>
  <r>
    <s v="TXN100485"/>
    <n v="222"/>
    <x v="9"/>
    <s v="Merchant_012"/>
    <x v="1"/>
    <s v="East"/>
    <d v="2026-01-12T17:24:00"/>
    <n v="499"/>
    <s v="Wallet"/>
    <x v="1"/>
    <n v="87"/>
    <n v="5.4889999999999999"/>
    <s v="Standard"/>
  </r>
  <r>
    <s v="TXN100486"/>
    <n v="44"/>
    <x v="12"/>
    <s v="Merchant_040"/>
    <x v="5"/>
    <s v="South"/>
    <d v="2026-01-19T21:24:00"/>
    <n v="499"/>
    <s v="UPI"/>
    <x v="0"/>
    <n v="37"/>
    <n v="0"/>
    <s v="Standard"/>
  </r>
  <r>
    <s v="TXN100487"/>
    <n v="38"/>
    <x v="18"/>
    <s v="Merchant_006"/>
    <x v="6"/>
    <s v="South"/>
    <d v="2026-01-26T07:45:00"/>
    <n v="49"/>
    <s v="Wallet"/>
    <x v="0"/>
    <n v="34"/>
    <n v="0.53899999999999992"/>
    <s v="Standard"/>
  </r>
  <r>
    <s v="TXN100488"/>
    <n v="325"/>
    <x v="34"/>
    <s v="Merchant_010"/>
    <x v="3"/>
    <s v="West"/>
    <d v="2026-01-05T12:45:00"/>
    <n v="49"/>
    <s v="Netbanking"/>
    <x v="2"/>
    <n v="94"/>
    <n v="0.73499999999999999"/>
    <s v="Standard"/>
  </r>
  <r>
    <s v="TXN100489"/>
    <n v="55"/>
    <x v="18"/>
    <s v="Merchant_006"/>
    <x v="6"/>
    <s v="South"/>
    <d v="2026-01-13T10:23:00"/>
    <n v="1499"/>
    <s v="Card"/>
    <x v="0"/>
    <n v="0"/>
    <n v="26.981999999999999"/>
    <s v="Standard"/>
  </r>
  <r>
    <s v="TXN100490"/>
    <n v="139"/>
    <x v="23"/>
    <s v="Merchant_007"/>
    <x v="6"/>
    <s v="East"/>
    <d v="2026-01-10T14:23:00"/>
    <n v="499"/>
    <s v="Card"/>
    <x v="0"/>
    <n v="16"/>
    <n v="8.9819999999999993"/>
    <s v="Standard"/>
  </r>
  <r>
    <s v="TXN100491"/>
    <n v="230"/>
    <x v="25"/>
    <s v="Merchant_036"/>
    <x v="5"/>
    <s v="East"/>
    <d v="2026-01-03T05:27:00"/>
    <n v="99"/>
    <s v="Wallet"/>
    <x v="0"/>
    <n v="71"/>
    <n v="1.089"/>
    <s v="Standard"/>
  </r>
  <r>
    <s v="TXN100492"/>
    <n v="14"/>
    <x v="18"/>
    <s v="Merchant_006"/>
    <x v="6"/>
    <s v="South"/>
    <d v="2026-01-17T13:06:00"/>
    <n v="799"/>
    <s v="Card"/>
    <x v="0"/>
    <n v="45"/>
    <n v="14.382"/>
    <s v="Standard"/>
  </r>
  <r>
    <s v="TXN100493"/>
    <n v="307"/>
    <x v="17"/>
    <s v="Merchant_021"/>
    <x v="6"/>
    <s v="East"/>
    <d v="2026-01-18T02:38:00"/>
    <n v="799"/>
    <s v="UPI"/>
    <x v="0"/>
    <n v="49"/>
    <n v="0"/>
    <s v="Standard"/>
  </r>
  <r>
    <s v="TXN100494"/>
    <n v="199"/>
    <x v="18"/>
    <s v="Merchant_006"/>
    <x v="6"/>
    <s v="South"/>
    <d v="2026-01-01T09:26:00"/>
    <n v="49"/>
    <s v="UPI"/>
    <x v="0"/>
    <n v="92"/>
    <n v="0"/>
    <s v="Standard"/>
  </r>
  <r>
    <s v="TXN100495"/>
    <n v="125"/>
    <x v="21"/>
    <s v="Merchant_037"/>
    <x v="5"/>
    <s v="South"/>
    <d v="2026-01-29T17:57:00"/>
    <n v="149"/>
    <s v="Wallet"/>
    <x v="0"/>
    <n v="66"/>
    <n v="1.639"/>
    <s v="Standard"/>
  </r>
  <r>
    <s v="TXN100496"/>
    <n v="87"/>
    <x v="39"/>
    <s v="Merchant_009"/>
    <x v="1"/>
    <s v="North"/>
    <d v="2026-01-06T21:24:00"/>
    <n v="149"/>
    <s v="UPI"/>
    <x v="0"/>
    <n v="34"/>
    <n v="0"/>
    <s v="Standard"/>
  </r>
  <r>
    <s v="TXN100497"/>
    <n v="75"/>
    <x v="32"/>
    <s v="Merchant_005"/>
    <x v="4"/>
    <s v="South"/>
    <d v="2026-01-10T08:31:00"/>
    <n v="99"/>
    <s v="UPI"/>
    <x v="0"/>
    <n v="21"/>
    <n v="0"/>
    <s v="Standard"/>
  </r>
  <r>
    <s v="TXN100498"/>
    <n v="154"/>
    <x v="20"/>
    <s v="Merchant_031"/>
    <x v="0"/>
    <s v="East"/>
    <d v="2026-01-14T08:26:00"/>
    <n v="499"/>
    <s v="Wallet"/>
    <x v="0"/>
    <n v="100"/>
    <n v="5.4889999999999999"/>
    <s v="Standard"/>
  </r>
  <r>
    <s v="TXN100499"/>
    <n v="127"/>
    <x v="33"/>
    <s v="Merchant_032"/>
    <x v="6"/>
    <s v="West"/>
    <d v="2026-01-03T11:16:00"/>
    <n v="149"/>
    <s v="Card"/>
    <x v="0"/>
    <n v="76"/>
    <n v="2.6819999999999999"/>
    <s v="Standard"/>
  </r>
  <r>
    <s v="TXN200000"/>
    <n v="351"/>
    <x v="23"/>
    <s v="Merchant_007"/>
    <x v="6"/>
    <s v="East"/>
    <d v="2026-01-30T06:00:00"/>
    <n v="1999"/>
    <s v="Card"/>
    <x v="2"/>
    <n v="79"/>
    <n v="35.981999999999999"/>
    <s v="Standard"/>
  </r>
  <r>
    <s v="TXN200001"/>
    <n v="352"/>
    <x v="12"/>
    <s v="Merchant_040"/>
    <x v="5"/>
    <s v="South"/>
    <d v="2026-01-11T12:00:00"/>
    <n v="4999"/>
    <s v="Card"/>
    <x v="2"/>
    <n v="95"/>
    <n v="89.981999999999999"/>
    <s v="Standard"/>
  </r>
  <r>
    <s v="TXN200002"/>
    <n v="353"/>
    <x v="10"/>
    <s v="Merchant_028"/>
    <x v="1"/>
    <s v="South"/>
    <d v="2026-01-21T14:00:00"/>
    <n v="1999"/>
    <s v="Card"/>
    <x v="2"/>
    <n v="79"/>
    <n v="35.981999999999999"/>
    <s v="Standard"/>
  </r>
  <r>
    <s v="TXN200003"/>
    <n v="354"/>
    <x v="6"/>
    <s v="Merchant_013"/>
    <x v="2"/>
    <s v="East"/>
    <d v="2026-01-21T19:00:00"/>
    <n v="4999"/>
    <s v="Card"/>
    <x v="2"/>
    <n v="80"/>
    <n v="89.981999999999999"/>
    <s v="Standard"/>
  </r>
  <r>
    <s v="TXN200004"/>
    <n v="355"/>
    <x v="13"/>
    <s v="Merchant_019"/>
    <x v="3"/>
    <s v="North"/>
    <d v="2026-01-16T12:00:00"/>
    <n v="4999"/>
    <s v="Card"/>
    <x v="2"/>
    <n v="100"/>
    <n v="89.981999999999999"/>
    <s v="Standard"/>
  </r>
  <r>
    <s v="TXN200005"/>
    <n v="356"/>
    <x v="14"/>
    <s v="Merchant_025"/>
    <x v="2"/>
    <s v="South"/>
    <d v="2026-01-29T07:00:00"/>
    <n v="2999"/>
    <s v="Card"/>
    <x v="2"/>
    <n v="96"/>
    <n v="53.981999999999999"/>
    <s v="Standard"/>
  </r>
  <r>
    <s v="TXN200006"/>
    <n v="357"/>
    <x v="21"/>
    <s v="Merchant_037"/>
    <x v="5"/>
    <s v="South"/>
    <d v="2026-01-23T11:00:00"/>
    <n v="1999"/>
    <s v="Card"/>
    <x v="2"/>
    <n v="88"/>
    <n v="35.981999999999999"/>
    <s v="Standard"/>
  </r>
  <r>
    <s v="TXN200007"/>
    <n v="358"/>
    <x v="25"/>
    <s v="Merchant_036"/>
    <x v="5"/>
    <s v="East"/>
    <d v="2026-01-28T05:00:00"/>
    <n v="999"/>
    <s v="Card"/>
    <x v="2"/>
    <n v="100"/>
    <n v="17.981999999999999"/>
    <s v="Standard"/>
  </r>
  <r>
    <s v="TXN200008"/>
    <n v="359"/>
    <x v="26"/>
    <s v="Merchant_029"/>
    <x v="1"/>
    <s v="North"/>
    <d v="2026-01-25T22:00:00"/>
    <n v="2999"/>
    <s v="Card"/>
    <x v="2"/>
    <n v="96"/>
    <n v="53.981999999999999"/>
    <s v="Standard"/>
  </r>
  <r>
    <s v="TXN200009"/>
    <n v="360"/>
    <x v="33"/>
    <s v="Merchant_032"/>
    <x v="6"/>
    <s v="West"/>
    <d v="2026-01-13T13:00:00"/>
    <n v="1999"/>
    <s v="Card"/>
    <x v="2"/>
    <n v="90"/>
    <n v="35.981999999999999"/>
    <s v="Standard"/>
  </r>
  <r>
    <s v="TXN200010"/>
    <n v="361"/>
    <x v="34"/>
    <s v="Merchant_010"/>
    <x v="3"/>
    <s v="West"/>
    <d v="2026-01-20T07:00:00"/>
    <n v="4999"/>
    <s v="Card"/>
    <x v="2"/>
    <n v="95"/>
    <n v="89.981999999999999"/>
    <s v="Standard"/>
  </r>
  <r>
    <s v="TXN200011"/>
    <n v="362"/>
    <x v="38"/>
    <s v="Merchant_039"/>
    <x v="5"/>
    <s v="North"/>
    <d v="2026-01-23T02:00:00"/>
    <n v="4999"/>
    <s v="Card"/>
    <x v="2"/>
    <n v="88"/>
    <n v="89.981999999999999"/>
    <s v="Standard"/>
  </r>
  <r>
    <s v="TXN200012"/>
    <n v="363"/>
    <x v="1"/>
    <s v="Merchant_027"/>
    <x v="1"/>
    <s v="North"/>
    <d v="2026-01-23T17:00:00"/>
    <n v="999"/>
    <s v="Card"/>
    <x v="2"/>
    <n v="95"/>
    <n v="17.981999999999999"/>
    <s v="Standard"/>
  </r>
  <r>
    <s v="TXN200013"/>
    <n v="364"/>
    <x v="38"/>
    <s v="Merchant_039"/>
    <x v="5"/>
    <s v="North"/>
    <d v="2026-01-22T22:00:00"/>
    <n v="999"/>
    <s v="Card"/>
    <x v="2"/>
    <n v="73"/>
    <n v="17.981999999999999"/>
    <s v="Standard"/>
  </r>
  <r>
    <s v="TXN200014"/>
    <n v="365"/>
    <x v="5"/>
    <s v="Merchant_023"/>
    <x v="2"/>
    <s v="North"/>
    <d v="2026-01-18T21:00:00"/>
    <n v="1999"/>
    <s v="Card"/>
    <x v="2"/>
    <n v="90"/>
    <n v="35.981999999999999"/>
    <s v="Standard"/>
  </r>
  <r>
    <s v="TXN300000"/>
    <n v="314"/>
    <x v="22"/>
    <s v="Merchant_026"/>
    <x v="6"/>
    <s v="East"/>
    <d v="2026-01-02T18:00:00"/>
    <n v="399"/>
    <s v="Card"/>
    <x v="1"/>
    <n v="87"/>
    <n v="7.1819999999999995"/>
    <s v="Standard"/>
  </r>
  <r>
    <s v="TXN300001"/>
    <n v="314"/>
    <x v="23"/>
    <s v="Merchant_007"/>
    <x v="6"/>
    <s v="East"/>
    <d v="2026-01-02T18:01:00"/>
    <n v="299"/>
    <s v="Card"/>
    <x v="1"/>
    <n v="66"/>
    <n v="5.3819999999999997"/>
    <s v="Standard"/>
  </r>
  <r>
    <s v="TXN300002"/>
    <n v="314"/>
    <x v="28"/>
    <s v="Merchant_017"/>
    <x v="3"/>
    <s v="North"/>
    <d v="2026-01-02T18:02:00"/>
    <n v="299"/>
    <s v="Card"/>
    <x v="1"/>
    <n v="92"/>
    <n v="5.3819999999999997"/>
    <s v="Standard"/>
  </r>
  <r>
    <s v="TXN300003"/>
    <n v="314"/>
    <x v="36"/>
    <s v="Merchant_034"/>
    <x v="2"/>
    <s v="South"/>
    <d v="2026-01-02T18:03:00"/>
    <n v="499"/>
    <s v="Card"/>
    <x v="0"/>
    <n v="74"/>
    <n v="8.9819999999999993"/>
    <s v="Standard"/>
  </r>
  <r>
    <s v="TXN300004"/>
    <n v="229"/>
    <x v="24"/>
    <s v="Merchant_030"/>
    <x v="2"/>
    <s v="West"/>
    <d v="2026-01-12T12:00:00"/>
    <n v="499"/>
    <s v="Card"/>
    <x v="1"/>
    <n v="92"/>
    <n v="8.9819999999999993"/>
    <s v="Standard"/>
  </r>
  <r>
    <s v="TXN300005"/>
    <n v="229"/>
    <x v="34"/>
    <s v="Merchant_010"/>
    <x v="3"/>
    <s v="West"/>
    <d v="2026-01-12T12:01:00"/>
    <n v="399"/>
    <s v="Card"/>
    <x v="1"/>
    <n v="61"/>
    <n v="7.1819999999999995"/>
    <s v="Standard"/>
  </r>
  <r>
    <s v="TXN300006"/>
    <n v="229"/>
    <x v="20"/>
    <s v="Merchant_031"/>
    <x v="0"/>
    <s v="East"/>
    <d v="2026-01-12T12:02:00"/>
    <n v="299"/>
    <s v="Card"/>
    <x v="1"/>
    <n v="78"/>
    <n v="5.3819999999999997"/>
    <s v="Standard"/>
  </r>
  <r>
    <s v="TXN300007"/>
    <n v="229"/>
    <x v="1"/>
    <s v="Merchant_027"/>
    <x v="1"/>
    <s v="North"/>
    <d v="2026-01-12T12:03:00"/>
    <n v="299"/>
    <s v="Card"/>
    <x v="0"/>
    <n v="67"/>
    <n v="5.3819999999999997"/>
    <s v="Standard"/>
  </r>
  <r>
    <s v="TXN300008"/>
    <n v="73"/>
    <x v="3"/>
    <s v="Merchant_022"/>
    <x v="2"/>
    <s v="South"/>
    <d v="2026-01-12T09:00:00"/>
    <n v="399"/>
    <s v="Card"/>
    <x v="1"/>
    <n v="73"/>
    <n v="7.1819999999999995"/>
    <s v="Standard"/>
  </r>
  <r>
    <s v="TXN300009"/>
    <n v="73"/>
    <x v="36"/>
    <s v="Merchant_034"/>
    <x v="2"/>
    <s v="South"/>
    <d v="2026-01-12T09:01:00"/>
    <n v="399"/>
    <s v="Card"/>
    <x v="1"/>
    <n v="82"/>
    <n v="7.1819999999999995"/>
    <s v="Standard"/>
  </r>
  <r>
    <s v="TXN300010"/>
    <n v="73"/>
    <x v="20"/>
    <s v="Merchant_031"/>
    <x v="0"/>
    <s v="East"/>
    <d v="2026-01-12T09:02:00"/>
    <n v="299"/>
    <s v="Card"/>
    <x v="1"/>
    <n v="88"/>
    <n v="5.3819999999999997"/>
    <s v="Standard"/>
  </r>
  <r>
    <s v="TXN300011"/>
    <n v="73"/>
    <x v="26"/>
    <s v="Merchant_029"/>
    <x v="1"/>
    <s v="North"/>
    <d v="2026-01-12T09:03:00"/>
    <n v="399"/>
    <s v="Card"/>
    <x v="0"/>
    <n v="64"/>
    <n v="7.1819999999999995"/>
    <s v="Standard"/>
  </r>
  <r>
    <s v="TXN300012"/>
    <n v="154"/>
    <x v="30"/>
    <s v="Merchant_008"/>
    <x v="6"/>
    <s v="North"/>
    <d v="2026-01-02T22:00:00"/>
    <n v="299"/>
    <s v="Card"/>
    <x v="1"/>
    <n v="81"/>
    <n v="5.3819999999999997"/>
    <s v="Standard"/>
  </r>
  <r>
    <s v="TXN300013"/>
    <n v="154"/>
    <x v="23"/>
    <s v="Merchant_007"/>
    <x v="6"/>
    <s v="East"/>
    <d v="2026-01-02T22:01:00"/>
    <n v="499"/>
    <s v="Card"/>
    <x v="1"/>
    <n v="70"/>
    <n v="8.9819999999999993"/>
    <s v="Standard"/>
  </r>
  <r>
    <s v="TXN300014"/>
    <n v="154"/>
    <x v="0"/>
    <s v="Merchant_016"/>
    <x v="0"/>
    <s v="West"/>
    <d v="2026-01-02T22:02:00"/>
    <n v="499"/>
    <s v="Card"/>
    <x v="1"/>
    <n v="71"/>
    <n v="8.9819999999999993"/>
    <s v="Standard"/>
  </r>
  <r>
    <s v="TXN300015"/>
    <n v="154"/>
    <x v="25"/>
    <s v="Merchant_036"/>
    <x v="5"/>
    <s v="East"/>
    <d v="2026-01-02T22:03:00"/>
    <n v="299"/>
    <s v="Card"/>
    <x v="0"/>
    <n v="81"/>
    <n v="5.3819999999999997"/>
    <s v="Standard"/>
  </r>
  <r>
    <s v="TXN300016"/>
    <n v="287"/>
    <x v="19"/>
    <s v="Merchant_015"/>
    <x v="2"/>
    <s v="North"/>
    <d v="2026-01-14T14:00:00"/>
    <n v="399"/>
    <s v="Card"/>
    <x v="1"/>
    <n v="71"/>
    <n v="7.1819999999999995"/>
    <s v="Standard"/>
  </r>
  <r>
    <s v="TXN300017"/>
    <n v="287"/>
    <x v="9"/>
    <s v="Merchant_012"/>
    <x v="1"/>
    <s v="East"/>
    <d v="2026-01-14T14:01:00"/>
    <n v="499"/>
    <s v="Card"/>
    <x v="1"/>
    <n v="87"/>
    <n v="8.9819999999999993"/>
    <s v="Standard"/>
  </r>
  <r>
    <s v="TXN300018"/>
    <n v="287"/>
    <x v="22"/>
    <s v="Merchant_026"/>
    <x v="6"/>
    <s v="East"/>
    <d v="2026-01-14T14:02:00"/>
    <n v="299"/>
    <s v="Card"/>
    <x v="1"/>
    <n v="72"/>
    <n v="5.3819999999999997"/>
    <s v="Standard"/>
  </r>
  <r>
    <s v="TXN300019"/>
    <n v="287"/>
    <x v="26"/>
    <s v="Merchant_029"/>
    <x v="1"/>
    <s v="North"/>
    <d v="2026-01-14T14:03:00"/>
    <n v="499"/>
    <s v="Card"/>
    <x v="0"/>
    <n v="87"/>
    <n v="8.9819999999999993"/>
    <s v="Standard"/>
  </r>
  <r>
    <s v="TXN300020"/>
    <n v="200"/>
    <x v="16"/>
    <s v="Merchant_014"/>
    <x v="3"/>
    <s v="East"/>
    <d v="2026-01-01T22:00:00"/>
    <n v="299"/>
    <s v="Card"/>
    <x v="1"/>
    <n v="77"/>
    <n v="5.3819999999999997"/>
    <s v="Standard"/>
  </r>
  <r>
    <s v="TXN300021"/>
    <n v="200"/>
    <x v="32"/>
    <s v="Merchant_005"/>
    <x v="4"/>
    <s v="South"/>
    <d v="2026-01-01T22:01:00"/>
    <n v="499"/>
    <s v="Card"/>
    <x v="1"/>
    <n v="66"/>
    <n v="8.9819999999999993"/>
    <s v="Standard"/>
  </r>
  <r>
    <s v="TXN300022"/>
    <n v="200"/>
    <x v="8"/>
    <s v="Merchant_035"/>
    <x v="4"/>
    <s v="East"/>
    <d v="2026-01-01T22:02:00"/>
    <n v="299"/>
    <s v="Card"/>
    <x v="1"/>
    <n v="83"/>
    <n v="5.3819999999999997"/>
    <s v="Standard"/>
  </r>
  <r>
    <s v="TXN300023"/>
    <n v="200"/>
    <x v="17"/>
    <s v="Merchant_021"/>
    <x v="6"/>
    <s v="East"/>
    <d v="2026-01-01T22:03:00"/>
    <n v="299"/>
    <s v="Card"/>
    <x v="0"/>
    <n v="89"/>
    <n v="5.3819999999999997"/>
    <s v="Standard"/>
  </r>
  <r>
    <s v="TXN300024"/>
    <n v="59"/>
    <x v="33"/>
    <s v="Merchant_032"/>
    <x v="6"/>
    <s v="West"/>
    <d v="2026-01-09T21:00:00"/>
    <n v="499"/>
    <s v="Card"/>
    <x v="1"/>
    <n v="80"/>
    <n v="8.9819999999999993"/>
    <s v="Standard"/>
  </r>
  <r>
    <s v="TXN300025"/>
    <n v="59"/>
    <x v="38"/>
    <s v="Merchant_039"/>
    <x v="5"/>
    <s v="North"/>
    <d v="2026-01-09T21:01:00"/>
    <n v="399"/>
    <s v="Card"/>
    <x v="1"/>
    <n v="85"/>
    <n v="7.1819999999999995"/>
    <s v="Standard"/>
  </r>
  <r>
    <s v="TXN300026"/>
    <n v="59"/>
    <x v="35"/>
    <s v="Merchant_038"/>
    <x v="3"/>
    <s v="East"/>
    <d v="2026-01-09T21:02:00"/>
    <n v="299"/>
    <s v="Card"/>
    <x v="1"/>
    <n v="82"/>
    <n v="5.3819999999999997"/>
    <s v="Standard"/>
  </r>
  <r>
    <s v="TXN300027"/>
    <n v="59"/>
    <x v="5"/>
    <s v="Merchant_023"/>
    <x v="2"/>
    <s v="North"/>
    <d v="2026-01-09T21:03:00"/>
    <n v="399"/>
    <s v="Card"/>
    <x v="0"/>
    <n v="71"/>
    <n v="7.1819999999999995"/>
    <s v="Standard"/>
  </r>
  <r>
    <s v="TXN300028"/>
    <n v="345"/>
    <x v="12"/>
    <s v="Merchant_040"/>
    <x v="5"/>
    <s v="South"/>
    <d v="2026-01-23T09:00:00"/>
    <n v="499"/>
    <s v="Card"/>
    <x v="1"/>
    <n v="65"/>
    <n v="8.9819999999999993"/>
    <s v="Standard"/>
  </r>
  <r>
    <s v="TXN300029"/>
    <n v="345"/>
    <x v="39"/>
    <s v="Merchant_009"/>
    <x v="1"/>
    <s v="North"/>
    <d v="2026-01-23T09:01:00"/>
    <n v="399"/>
    <s v="Card"/>
    <x v="1"/>
    <n v="67"/>
    <n v="7.1819999999999995"/>
    <s v="Standard"/>
  </r>
  <r>
    <s v="TXN300030"/>
    <n v="345"/>
    <x v="0"/>
    <s v="Merchant_016"/>
    <x v="0"/>
    <s v="West"/>
    <d v="2026-01-23T09:02:00"/>
    <n v="399"/>
    <s v="Card"/>
    <x v="1"/>
    <n v="67"/>
    <n v="7.1819999999999995"/>
    <s v="Standard"/>
  </r>
  <r>
    <s v="TXN300031"/>
    <n v="345"/>
    <x v="9"/>
    <s v="Merchant_012"/>
    <x v="1"/>
    <s v="East"/>
    <d v="2026-01-23T09:03:00"/>
    <n v="399"/>
    <s v="Card"/>
    <x v="0"/>
    <n v="69"/>
    <n v="7.1819999999999995"/>
    <s v="Stand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6E5E8-2579-4BAD-A8BD-A6E107B2EF9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86" firstHeaderRow="1" firstDataRow="3" firstDataCol="1"/>
  <pivotFields count="13">
    <pivotField dataField="1" showAll="0"/>
    <pivotField showAll="0"/>
    <pivotField axis="axisRow" showAll="0">
      <items count="41"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t="default"/>
      </items>
    </pivotField>
    <pivotField showAll="0"/>
    <pivotField axis="axisRow" showAll="0">
      <items count="8">
        <item x="0"/>
        <item x="1"/>
        <item x="5"/>
        <item x="6"/>
        <item x="3"/>
        <item x="4"/>
        <item x="2"/>
        <item t="default"/>
      </items>
    </pivotField>
    <pivotField showAll="0"/>
    <pivotField numFmtId="22" showAll="0"/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2">
    <field x="2"/>
    <field x="4"/>
  </rowFields>
  <rowItems count="81">
    <i>
      <x/>
    </i>
    <i r="1">
      <x v="1"/>
    </i>
    <i>
      <x v="1"/>
    </i>
    <i r="1">
      <x v="4"/>
    </i>
    <i>
      <x v="2"/>
    </i>
    <i r="1">
      <x v="4"/>
    </i>
    <i>
      <x v="3"/>
    </i>
    <i r="1">
      <x v="1"/>
    </i>
    <i>
      <x v="4"/>
    </i>
    <i r="1">
      <x v="5"/>
    </i>
    <i>
      <x v="5"/>
    </i>
    <i r="1">
      <x v="3"/>
    </i>
    <i>
      <x v="6"/>
    </i>
    <i r="1">
      <x v="3"/>
    </i>
    <i>
      <x v="7"/>
    </i>
    <i r="1">
      <x v="3"/>
    </i>
    <i>
      <x v="8"/>
    </i>
    <i r="1">
      <x v="1"/>
    </i>
    <i>
      <x v="9"/>
    </i>
    <i r="1">
      <x v="4"/>
    </i>
    <i>
      <x v="10"/>
    </i>
    <i r="1">
      <x v="1"/>
    </i>
    <i>
      <x v="11"/>
    </i>
    <i r="1">
      <x v="1"/>
    </i>
    <i>
      <x v="12"/>
    </i>
    <i r="1">
      <x v="6"/>
    </i>
    <i>
      <x v="13"/>
    </i>
    <i r="1">
      <x v="4"/>
    </i>
    <i>
      <x v="14"/>
    </i>
    <i r="1">
      <x v="6"/>
    </i>
    <i>
      <x v="15"/>
    </i>
    <i r="1">
      <x/>
    </i>
    <i>
      <x v="16"/>
    </i>
    <i r="1">
      <x v="4"/>
    </i>
    <i>
      <x v="17"/>
    </i>
    <i r="1">
      <x v="4"/>
    </i>
    <i>
      <x v="18"/>
    </i>
    <i r="1">
      <x v="4"/>
    </i>
    <i>
      <x v="19"/>
    </i>
    <i r="1">
      <x v="3"/>
    </i>
    <i>
      <x v="20"/>
    </i>
    <i r="1">
      <x v="3"/>
    </i>
    <i>
      <x v="21"/>
    </i>
    <i r="1">
      <x v="6"/>
    </i>
    <i>
      <x v="22"/>
    </i>
    <i r="1">
      <x v="6"/>
    </i>
    <i>
      <x v="23"/>
    </i>
    <i r="1">
      <x v="4"/>
    </i>
    <i>
      <x v="24"/>
    </i>
    <i r="1">
      <x v="6"/>
    </i>
    <i>
      <x v="25"/>
    </i>
    <i r="1">
      <x v="3"/>
    </i>
    <i>
      <x v="26"/>
    </i>
    <i r="1">
      <x v="1"/>
    </i>
    <i>
      <x v="27"/>
    </i>
    <i r="1">
      <x v="1"/>
    </i>
    <i>
      <x v="28"/>
    </i>
    <i r="1">
      <x v="1"/>
    </i>
    <i>
      <x v="29"/>
    </i>
    <i r="1">
      <x v="6"/>
    </i>
    <i>
      <x v="30"/>
    </i>
    <i r="1">
      <x/>
    </i>
    <i>
      <x v="31"/>
    </i>
    <i r="1">
      <x v="3"/>
    </i>
    <i>
      <x v="32"/>
    </i>
    <i r="1">
      <x/>
    </i>
    <i>
      <x v="33"/>
    </i>
    <i r="1">
      <x v="6"/>
    </i>
    <i>
      <x v="34"/>
    </i>
    <i r="1">
      <x v="5"/>
    </i>
    <i>
      <x v="35"/>
    </i>
    <i r="1">
      <x v="2"/>
    </i>
    <i>
      <x v="36"/>
    </i>
    <i r="1">
      <x v="2"/>
    </i>
    <i>
      <x v="37"/>
    </i>
    <i r="1">
      <x v="4"/>
    </i>
    <i>
      <x v="38"/>
    </i>
    <i r="1">
      <x v="2"/>
    </i>
    <i>
      <x v="39"/>
    </i>
    <i r="1">
      <x v="2"/>
    </i>
    <i t="grand">
      <x/>
    </i>
  </rowItems>
  <colFields count="2">
    <field x="9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ount of transaction_id" fld="0" subtotal="count" baseField="0" baseItem="0"/>
    <dataField name="Sum of amount_in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8575-D77E-4C66-A362-D78430864DE0}">
  <dimension ref="A1:D41"/>
  <sheetViews>
    <sheetView workbookViewId="0">
      <selection activeCell="C1" sqref="C1:C1048576"/>
    </sheetView>
  </sheetViews>
  <sheetFormatPr defaultRowHeight="14.4" x14ac:dyDescent="0.3"/>
  <cols>
    <col min="1" max="1" width="13.21875" customWidth="1"/>
    <col min="2" max="2" width="17.44140625" customWidth="1"/>
    <col min="3" max="3" width="12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8</v>
      </c>
      <c r="D4" t="s">
        <v>11</v>
      </c>
    </row>
    <row r="5" spans="1:4" x14ac:dyDescent="0.3">
      <c r="A5">
        <v>4</v>
      </c>
      <c r="B5" t="s">
        <v>12</v>
      </c>
      <c r="C5" t="s">
        <v>5</v>
      </c>
      <c r="D5" t="s">
        <v>11</v>
      </c>
    </row>
    <row r="6" spans="1:4" x14ac:dyDescent="0.3">
      <c r="A6">
        <v>5</v>
      </c>
      <c r="B6" t="s">
        <v>13</v>
      </c>
      <c r="C6" t="s">
        <v>14</v>
      </c>
      <c r="D6" t="s">
        <v>6</v>
      </c>
    </row>
    <row r="7" spans="1:4" x14ac:dyDescent="0.3">
      <c r="A7">
        <v>6</v>
      </c>
      <c r="B7" t="s">
        <v>15</v>
      </c>
      <c r="C7" t="s">
        <v>16</v>
      </c>
      <c r="D7" t="s">
        <v>6</v>
      </c>
    </row>
    <row r="8" spans="1:4" x14ac:dyDescent="0.3">
      <c r="A8">
        <v>7</v>
      </c>
      <c r="B8" t="s">
        <v>17</v>
      </c>
      <c r="C8" t="s">
        <v>16</v>
      </c>
      <c r="D8" t="s">
        <v>11</v>
      </c>
    </row>
    <row r="9" spans="1:4" x14ac:dyDescent="0.3">
      <c r="A9">
        <v>8</v>
      </c>
      <c r="B9" t="s">
        <v>18</v>
      </c>
      <c r="C9" t="s">
        <v>16</v>
      </c>
      <c r="D9" t="s">
        <v>19</v>
      </c>
    </row>
    <row r="10" spans="1:4" x14ac:dyDescent="0.3">
      <c r="A10">
        <v>9</v>
      </c>
      <c r="B10" t="s">
        <v>20</v>
      </c>
      <c r="C10" t="s">
        <v>5</v>
      </c>
      <c r="D10" t="s">
        <v>19</v>
      </c>
    </row>
    <row r="11" spans="1:4" x14ac:dyDescent="0.3">
      <c r="A11">
        <v>10</v>
      </c>
      <c r="B11" t="s">
        <v>21</v>
      </c>
      <c r="C11" t="s">
        <v>8</v>
      </c>
      <c r="D11" t="s">
        <v>9</v>
      </c>
    </row>
    <row r="12" spans="1:4" x14ac:dyDescent="0.3">
      <c r="A12">
        <v>11</v>
      </c>
      <c r="B12" t="s">
        <v>22</v>
      </c>
      <c r="C12" t="s">
        <v>5</v>
      </c>
      <c r="D12" t="s">
        <v>19</v>
      </c>
    </row>
    <row r="13" spans="1:4" x14ac:dyDescent="0.3">
      <c r="A13">
        <v>12</v>
      </c>
      <c r="B13" t="s">
        <v>23</v>
      </c>
      <c r="C13" t="s">
        <v>5</v>
      </c>
      <c r="D13" t="s">
        <v>11</v>
      </c>
    </row>
    <row r="14" spans="1:4" x14ac:dyDescent="0.3">
      <c r="A14">
        <v>13</v>
      </c>
      <c r="B14" t="s">
        <v>24</v>
      </c>
      <c r="C14" t="s">
        <v>25</v>
      </c>
      <c r="D14" t="s">
        <v>11</v>
      </c>
    </row>
    <row r="15" spans="1:4" x14ac:dyDescent="0.3">
      <c r="A15">
        <v>14</v>
      </c>
      <c r="B15" t="s">
        <v>26</v>
      </c>
      <c r="C15" t="s">
        <v>8</v>
      </c>
      <c r="D15" t="s">
        <v>11</v>
      </c>
    </row>
    <row r="16" spans="1:4" x14ac:dyDescent="0.3">
      <c r="A16">
        <v>15</v>
      </c>
      <c r="B16" t="s">
        <v>27</v>
      </c>
      <c r="C16" t="s">
        <v>25</v>
      </c>
      <c r="D16" t="s">
        <v>19</v>
      </c>
    </row>
    <row r="17" spans="1:4" x14ac:dyDescent="0.3">
      <c r="A17">
        <v>16</v>
      </c>
      <c r="B17" t="s">
        <v>28</v>
      </c>
      <c r="C17" t="s">
        <v>29</v>
      </c>
      <c r="D17" t="s">
        <v>9</v>
      </c>
    </row>
    <row r="18" spans="1:4" x14ac:dyDescent="0.3">
      <c r="A18">
        <v>17</v>
      </c>
      <c r="B18" t="s">
        <v>30</v>
      </c>
      <c r="C18" t="s">
        <v>8</v>
      </c>
      <c r="D18" t="s">
        <v>19</v>
      </c>
    </row>
    <row r="19" spans="1:4" x14ac:dyDescent="0.3">
      <c r="A19">
        <v>18</v>
      </c>
      <c r="B19" t="s">
        <v>31</v>
      </c>
      <c r="C19" t="s">
        <v>8</v>
      </c>
      <c r="D19" t="s">
        <v>9</v>
      </c>
    </row>
    <row r="20" spans="1:4" x14ac:dyDescent="0.3">
      <c r="A20">
        <v>19</v>
      </c>
      <c r="B20" t="s">
        <v>32</v>
      </c>
      <c r="C20" t="s">
        <v>8</v>
      </c>
      <c r="D20" t="s">
        <v>19</v>
      </c>
    </row>
    <row r="21" spans="1:4" x14ac:dyDescent="0.3">
      <c r="A21">
        <v>20</v>
      </c>
      <c r="B21" t="s">
        <v>33</v>
      </c>
      <c r="C21" t="s">
        <v>16</v>
      </c>
      <c r="D21" t="s">
        <v>11</v>
      </c>
    </row>
    <row r="22" spans="1:4" x14ac:dyDescent="0.3">
      <c r="A22">
        <v>21</v>
      </c>
      <c r="B22" t="s">
        <v>34</v>
      </c>
      <c r="C22" t="s">
        <v>16</v>
      </c>
      <c r="D22" t="s">
        <v>11</v>
      </c>
    </row>
    <row r="23" spans="1:4" x14ac:dyDescent="0.3">
      <c r="A23">
        <v>22</v>
      </c>
      <c r="B23" t="s">
        <v>35</v>
      </c>
      <c r="C23" t="s">
        <v>25</v>
      </c>
      <c r="D23" t="s">
        <v>6</v>
      </c>
    </row>
    <row r="24" spans="1:4" x14ac:dyDescent="0.3">
      <c r="A24">
        <v>23</v>
      </c>
      <c r="B24" t="s">
        <v>36</v>
      </c>
      <c r="C24" t="s">
        <v>25</v>
      </c>
      <c r="D24" t="s">
        <v>19</v>
      </c>
    </row>
    <row r="25" spans="1:4" x14ac:dyDescent="0.3">
      <c r="A25">
        <v>24</v>
      </c>
      <c r="B25" t="s">
        <v>37</v>
      </c>
      <c r="C25" t="s">
        <v>8</v>
      </c>
      <c r="D25" t="s">
        <v>19</v>
      </c>
    </row>
    <row r="26" spans="1:4" x14ac:dyDescent="0.3">
      <c r="A26">
        <v>25</v>
      </c>
      <c r="B26" t="s">
        <v>38</v>
      </c>
      <c r="C26" t="s">
        <v>25</v>
      </c>
      <c r="D26" t="s">
        <v>6</v>
      </c>
    </row>
    <row r="27" spans="1:4" x14ac:dyDescent="0.3">
      <c r="A27">
        <v>26</v>
      </c>
      <c r="B27" t="s">
        <v>39</v>
      </c>
      <c r="C27" t="s">
        <v>16</v>
      </c>
      <c r="D27" t="s">
        <v>11</v>
      </c>
    </row>
    <row r="28" spans="1:4" x14ac:dyDescent="0.3">
      <c r="A28">
        <v>27</v>
      </c>
      <c r="B28" t="s">
        <v>40</v>
      </c>
      <c r="C28" t="s">
        <v>5</v>
      </c>
      <c r="D28" t="s">
        <v>19</v>
      </c>
    </row>
    <row r="29" spans="1:4" x14ac:dyDescent="0.3">
      <c r="A29">
        <v>28</v>
      </c>
      <c r="B29" t="s">
        <v>41</v>
      </c>
      <c r="C29" t="s">
        <v>5</v>
      </c>
      <c r="D29" t="s">
        <v>6</v>
      </c>
    </row>
    <row r="30" spans="1:4" x14ac:dyDescent="0.3">
      <c r="A30">
        <v>29</v>
      </c>
      <c r="B30" t="s">
        <v>42</v>
      </c>
      <c r="C30" t="s">
        <v>5</v>
      </c>
      <c r="D30" t="s">
        <v>19</v>
      </c>
    </row>
    <row r="31" spans="1:4" x14ac:dyDescent="0.3">
      <c r="A31">
        <v>30</v>
      </c>
      <c r="B31" t="s">
        <v>43</v>
      </c>
      <c r="C31" t="s">
        <v>25</v>
      </c>
      <c r="D31" t="s">
        <v>9</v>
      </c>
    </row>
    <row r="32" spans="1:4" x14ac:dyDescent="0.3">
      <c r="A32">
        <v>31</v>
      </c>
      <c r="B32" t="s">
        <v>44</v>
      </c>
      <c r="C32" t="s">
        <v>29</v>
      </c>
      <c r="D32" t="s">
        <v>11</v>
      </c>
    </row>
    <row r="33" spans="1:4" x14ac:dyDescent="0.3">
      <c r="A33">
        <v>32</v>
      </c>
      <c r="B33" t="s">
        <v>45</v>
      </c>
      <c r="C33" t="s">
        <v>16</v>
      </c>
      <c r="D33" t="s">
        <v>9</v>
      </c>
    </row>
    <row r="34" spans="1:4" x14ac:dyDescent="0.3">
      <c r="A34">
        <v>33</v>
      </c>
      <c r="B34" t="s">
        <v>46</v>
      </c>
      <c r="C34" t="s">
        <v>29</v>
      </c>
      <c r="D34" t="s">
        <v>11</v>
      </c>
    </row>
    <row r="35" spans="1:4" x14ac:dyDescent="0.3">
      <c r="A35">
        <v>34</v>
      </c>
      <c r="B35" t="s">
        <v>47</v>
      </c>
      <c r="C35" t="s">
        <v>25</v>
      </c>
      <c r="D35" t="s">
        <v>6</v>
      </c>
    </row>
    <row r="36" spans="1:4" x14ac:dyDescent="0.3">
      <c r="A36">
        <v>35</v>
      </c>
      <c r="B36" t="s">
        <v>48</v>
      </c>
      <c r="C36" t="s">
        <v>14</v>
      </c>
      <c r="D36" t="s">
        <v>11</v>
      </c>
    </row>
    <row r="37" spans="1:4" x14ac:dyDescent="0.3">
      <c r="A37">
        <v>36</v>
      </c>
      <c r="B37" t="s">
        <v>49</v>
      </c>
      <c r="C37" t="s">
        <v>50</v>
      </c>
      <c r="D37" t="s">
        <v>11</v>
      </c>
    </row>
    <row r="38" spans="1:4" x14ac:dyDescent="0.3">
      <c r="A38">
        <v>37</v>
      </c>
      <c r="B38" t="s">
        <v>51</v>
      </c>
      <c r="C38" t="s">
        <v>50</v>
      </c>
      <c r="D38" t="s">
        <v>6</v>
      </c>
    </row>
    <row r="39" spans="1:4" x14ac:dyDescent="0.3">
      <c r="A39">
        <v>38</v>
      </c>
      <c r="B39" t="s">
        <v>52</v>
      </c>
      <c r="C39" t="s">
        <v>8</v>
      </c>
      <c r="D39" t="s">
        <v>11</v>
      </c>
    </row>
    <row r="40" spans="1:4" x14ac:dyDescent="0.3">
      <c r="A40">
        <v>39</v>
      </c>
      <c r="B40" t="s">
        <v>53</v>
      </c>
      <c r="C40" t="s">
        <v>50</v>
      </c>
      <c r="D40" t="s">
        <v>19</v>
      </c>
    </row>
    <row r="41" spans="1:4" x14ac:dyDescent="0.3">
      <c r="A41">
        <v>40</v>
      </c>
      <c r="B41" t="s">
        <v>54</v>
      </c>
      <c r="C41" t="s">
        <v>50</v>
      </c>
      <c r="D4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35A5-90F8-4CCD-A220-B5F96C0DC6E6}">
  <dimension ref="A3:I86"/>
  <sheetViews>
    <sheetView tabSelected="1" zoomScale="74" workbookViewId="0">
      <selection activeCell="E23" sqref="E23"/>
    </sheetView>
  </sheetViews>
  <sheetFormatPr defaultRowHeight="14.4" x14ac:dyDescent="0.3"/>
  <cols>
    <col min="1" max="1" width="15.5546875" bestFit="1" customWidth="1"/>
    <col min="2" max="2" width="20.21875" bestFit="1" customWidth="1"/>
    <col min="3" max="3" width="16.44140625" bestFit="1" customWidth="1"/>
    <col min="4" max="4" width="20.21875" bestFit="1" customWidth="1"/>
    <col min="5" max="5" width="16.44140625" bestFit="1" customWidth="1"/>
    <col min="6" max="6" width="20.21875" bestFit="1" customWidth="1"/>
    <col min="7" max="7" width="16.44140625" bestFit="1" customWidth="1"/>
    <col min="8" max="8" width="24.77734375" bestFit="1" customWidth="1"/>
    <col min="9" max="9" width="21" bestFit="1" customWidth="1"/>
  </cols>
  <sheetData>
    <row r="3" spans="1:9" x14ac:dyDescent="0.3">
      <c r="B3" s="10" t="s">
        <v>622</v>
      </c>
    </row>
    <row r="4" spans="1:9" x14ac:dyDescent="0.3">
      <c r="B4" t="s">
        <v>64</v>
      </c>
      <c r="D4" t="s">
        <v>92</v>
      </c>
      <c r="F4" t="s">
        <v>79</v>
      </c>
      <c r="H4" t="s">
        <v>624</v>
      </c>
      <c r="I4" t="s">
        <v>625</v>
      </c>
    </row>
    <row r="5" spans="1:9" x14ac:dyDescent="0.3">
      <c r="A5" s="10" t="s">
        <v>620</v>
      </c>
      <c r="B5" t="s">
        <v>623</v>
      </c>
      <c r="C5" t="s">
        <v>626</v>
      </c>
      <c r="D5" t="s">
        <v>623</v>
      </c>
      <c r="E5" t="s">
        <v>626</v>
      </c>
      <c r="F5" t="s">
        <v>623</v>
      </c>
      <c r="G5" t="s">
        <v>626</v>
      </c>
    </row>
    <row r="6" spans="1:9" x14ac:dyDescent="0.3">
      <c r="A6" s="11">
        <v>1</v>
      </c>
      <c r="B6" s="9">
        <v>8</v>
      </c>
      <c r="C6" s="9">
        <v>10142</v>
      </c>
      <c r="D6" s="9"/>
      <c r="E6" s="9"/>
      <c r="F6" s="9">
        <v>1</v>
      </c>
      <c r="G6" s="9">
        <v>299</v>
      </c>
      <c r="H6" s="9">
        <v>9</v>
      </c>
      <c r="I6" s="9">
        <v>10441</v>
      </c>
    </row>
    <row r="7" spans="1:9" x14ac:dyDescent="0.3">
      <c r="A7" s="12" t="s">
        <v>5</v>
      </c>
      <c r="B7" s="9">
        <v>8</v>
      </c>
      <c r="C7" s="9">
        <v>10142</v>
      </c>
      <c r="D7" s="9"/>
      <c r="E7" s="9"/>
      <c r="F7" s="9">
        <v>1</v>
      </c>
      <c r="G7" s="9">
        <v>299</v>
      </c>
      <c r="H7" s="9">
        <v>9</v>
      </c>
      <c r="I7" s="9">
        <v>10441</v>
      </c>
    </row>
    <row r="8" spans="1:9" x14ac:dyDescent="0.3">
      <c r="A8" s="11">
        <v>2</v>
      </c>
      <c r="B8" s="9">
        <v>10</v>
      </c>
      <c r="C8" s="9">
        <v>3640</v>
      </c>
      <c r="D8" s="9"/>
      <c r="E8" s="9"/>
      <c r="F8" s="9"/>
      <c r="G8" s="9"/>
      <c r="H8" s="9">
        <v>10</v>
      </c>
      <c r="I8" s="9">
        <v>3640</v>
      </c>
    </row>
    <row r="9" spans="1:9" x14ac:dyDescent="0.3">
      <c r="A9" s="12" t="s">
        <v>8</v>
      </c>
      <c r="B9" s="9">
        <v>10</v>
      </c>
      <c r="C9" s="9">
        <v>3640</v>
      </c>
      <c r="D9" s="9"/>
      <c r="E9" s="9"/>
      <c r="F9" s="9"/>
      <c r="G9" s="9"/>
      <c r="H9" s="9">
        <v>10</v>
      </c>
      <c r="I9" s="9">
        <v>3640</v>
      </c>
    </row>
    <row r="10" spans="1:9" x14ac:dyDescent="0.3">
      <c r="A10" s="11">
        <v>3</v>
      </c>
      <c r="B10" s="9">
        <v>16</v>
      </c>
      <c r="C10" s="9">
        <v>8084</v>
      </c>
      <c r="D10" s="9">
        <v>1</v>
      </c>
      <c r="E10" s="9">
        <v>149</v>
      </c>
      <c r="F10" s="9"/>
      <c r="G10" s="9"/>
      <c r="H10" s="9">
        <v>17</v>
      </c>
      <c r="I10" s="9">
        <v>8233</v>
      </c>
    </row>
    <row r="11" spans="1:9" x14ac:dyDescent="0.3">
      <c r="A11" s="12" t="s">
        <v>8</v>
      </c>
      <c r="B11" s="9">
        <v>16</v>
      </c>
      <c r="C11" s="9">
        <v>8084</v>
      </c>
      <c r="D11" s="9">
        <v>1</v>
      </c>
      <c r="E11" s="9">
        <v>149</v>
      </c>
      <c r="F11" s="9"/>
      <c r="G11" s="9"/>
      <c r="H11" s="9">
        <v>17</v>
      </c>
      <c r="I11" s="9">
        <v>8233</v>
      </c>
    </row>
    <row r="12" spans="1:9" x14ac:dyDescent="0.3">
      <c r="A12" s="11">
        <v>4</v>
      </c>
      <c r="B12" s="9">
        <v>9</v>
      </c>
      <c r="C12" s="9">
        <v>6941</v>
      </c>
      <c r="D12" s="9"/>
      <c r="E12" s="9"/>
      <c r="F12" s="9"/>
      <c r="G12" s="9"/>
      <c r="H12" s="9">
        <v>9</v>
      </c>
      <c r="I12" s="9">
        <v>6941</v>
      </c>
    </row>
    <row r="13" spans="1:9" x14ac:dyDescent="0.3">
      <c r="A13" s="12" t="s">
        <v>5</v>
      </c>
      <c r="B13" s="9">
        <v>9</v>
      </c>
      <c r="C13" s="9">
        <v>6941</v>
      </c>
      <c r="D13" s="9"/>
      <c r="E13" s="9"/>
      <c r="F13" s="9"/>
      <c r="G13" s="9"/>
      <c r="H13" s="9">
        <v>9</v>
      </c>
      <c r="I13" s="9">
        <v>6941</v>
      </c>
    </row>
    <row r="14" spans="1:9" x14ac:dyDescent="0.3">
      <c r="A14" s="11">
        <v>5</v>
      </c>
      <c r="B14" s="9">
        <v>10</v>
      </c>
      <c r="C14" s="9">
        <v>5340</v>
      </c>
      <c r="D14" s="9"/>
      <c r="E14" s="9"/>
      <c r="F14" s="9">
        <v>1</v>
      </c>
      <c r="G14" s="9">
        <v>499</v>
      </c>
      <c r="H14" s="9">
        <v>11</v>
      </c>
      <c r="I14" s="9">
        <v>5839</v>
      </c>
    </row>
    <row r="15" spans="1:9" x14ac:dyDescent="0.3">
      <c r="A15" s="12" t="s">
        <v>14</v>
      </c>
      <c r="B15" s="9">
        <v>10</v>
      </c>
      <c r="C15" s="9">
        <v>5340</v>
      </c>
      <c r="D15" s="9"/>
      <c r="E15" s="9"/>
      <c r="F15" s="9">
        <v>1</v>
      </c>
      <c r="G15" s="9">
        <v>499</v>
      </c>
      <c r="H15" s="9">
        <v>11</v>
      </c>
      <c r="I15" s="9">
        <v>5839</v>
      </c>
    </row>
    <row r="16" spans="1:9" x14ac:dyDescent="0.3">
      <c r="A16" s="11">
        <v>6</v>
      </c>
      <c r="B16" s="9">
        <v>13</v>
      </c>
      <c r="C16" s="9">
        <v>6637</v>
      </c>
      <c r="D16" s="9">
        <v>1</v>
      </c>
      <c r="E16" s="9">
        <v>799</v>
      </c>
      <c r="F16" s="9"/>
      <c r="G16" s="9"/>
      <c r="H16" s="9">
        <v>14</v>
      </c>
      <c r="I16" s="9">
        <v>7436</v>
      </c>
    </row>
    <row r="17" spans="1:9" x14ac:dyDescent="0.3">
      <c r="A17" s="12" t="s">
        <v>16</v>
      </c>
      <c r="B17" s="9">
        <v>13</v>
      </c>
      <c r="C17" s="9">
        <v>6637</v>
      </c>
      <c r="D17" s="9">
        <v>1</v>
      </c>
      <c r="E17" s="9">
        <v>799</v>
      </c>
      <c r="F17" s="9"/>
      <c r="G17" s="9"/>
      <c r="H17" s="9">
        <v>14</v>
      </c>
      <c r="I17" s="9">
        <v>7436</v>
      </c>
    </row>
    <row r="18" spans="1:9" x14ac:dyDescent="0.3">
      <c r="A18" s="11">
        <v>7</v>
      </c>
      <c r="B18" s="9">
        <v>12</v>
      </c>
      <c r="C18" s="9">
        <v>11638</v>
      </c>
      <c r="D18" s="9">
        <v>1</v>
      </c>
      <c r="E18" s="9">
        <v>1999</v>
      </c>
      <c r="F18" s="9">
        <v>3</v>
      </c>
      <c r="G18" s="9">
        <v>2297</v>
      </c>
      <c r="H18" s="9">
        <v>16</v>
      </c>
      <c r="I18" s="9">
        <v>15934</v>
      </c>
    </row>
    <row r="19" spans="1:9" x14ac:dyDescent="0.3">
      <c r="A19" s="12" t="s">
        <v>16</v>
      </c>
      <c r="B19" s="9">
        <v>12</v>
      </c>
      <c r="C19" s="9">
        <v>11638</v>
      </c>
      <c r="D19" s="9">
        <v>1</v>
      </c>
      <c r="E19" s="9">
        <v>1999</v>
      </c>
      <c r="F19" s="9">
        <v>3</v>
      </c>
      <c r="G19" s="9">
        <v>2297</v>
      </c>
      <c r="H19" s="9">
        <v>16</v>
      </c>
      <c r="I19" s="9">
        <v>15934</v>
      </c>
    </row>
    <row r="20" spans="1:9" x14ac:dyDescent="0.3">
      <c r="A20" s="11">
        <v>8</v>
      </c>
      <c r="B20" s="9">
        <v>14</v>
      </c>
      <c r="C20" s="9">
        <v>7086</v>
      </c>
      <c r="D20" s="9">
        <v>1</v>
      </c>
      <c r="E20" s="9">
        <v>49</v>
      </c>
      <c r="F20" s="9">
        <v>1</v>
      </c>
      <c r="G20" s="9">
        <v>299</v>
      </c>
      <c r="H20" s="9">
        <v>16</v>
      </c>
      <c r="I20" s="9">
        <v>7434</v>
      </c>
    </row>
    <row r="21" spans="1:9" x14ac:dyDescent="0.3">
      <c r="A21" s="12" t="s">
        <v>16</v>
      </c>
      <c r="B21" s="9">
        <v>14</v>
      </c>
      <c r="C21" s="9">
        <v>7086</v>
      </c>
      <c r="D21" s="9">
        <v>1</v>
      </c>
      <c r="E21" s="9">
        <v>49</v>
      </c>
      <c r="F21" s="9">
        <v>1</v>
      </c>
      <c r="G21" s="9">
        <v>299</v>
      </c>
      <c r="H21" s="9">
        <v>16</v>
      </c>
      <c r="I21" s="9">
        <v>7434</v>
      </c>
    </row>
    <row r="22" spans="1:9" x14ac:dyDescent="0.3">
      <c r="A22" s="11">
        <v>9</v>
      </c>
      <c r="B22" s="9">
        <v>15</v>
      </c>
      <c r="C22" s="9">
        <v>4485</v>
      </c>
      <c r="D22" s="9"/>
      <c r="E22" s="9"/>
      <c r="F22" s="9">
        <v>3</v>
      </c>
      <c r="G22" s="9">
        <v>497</v>
      </c>
      <c r="H22" s="9">
        <v>18</v>
      </c>
      <c r="I22" s="9">
        <v>4982</v>
      </c>
    </row>
    <row r="23" spans="1:9" x14ac:dyDescent="0.3">
      <c r="A23" s="12" t="s">
        <v>5</v>
      </c>
      <c r="B23" s="9">
        <v>15</v>
      </c>
      <c r="C23" s="9">
        <v>4485</v>
      </c>
      <c r="D23" s="9"/>
      <c r="E23" s="9"/>
      <c r="F23" s="9">
        <v>3</v>
      </c>
      <c r="G23" s="9">
        <v>497</v>
      </c>
      <c r="H23" s="9">
        <v>18</v>
      </c>
      <c r="I23" s="9">
        <v>4982</v>
      </c>
    </row>
    <row r="24" spans="1:9" x14ac:dyDescent="0.3">
      <c r="A24" s="11">
        <v>10</v>
      </c>
      <c r="B24" s="9">
        <v>11</v>
      </c>
      <c r="C24" s="9">
        <v>7639</v>
      </c>
      <c r="D24" s="9">
        <v>2</v>
      </c>
      <c r="E24" s="9">
        <v>5048</v>
      </c>
      <c r="F24" s="9">
        <v>1</v>
      </c>
      <c r="G24" s="9">
        <v>399</v>
      </c>
      <c r="H24" s="9">
        <v>14</v>
      </c>
      <c r="I24" s="9">
        <v>13086</v>
      </c>
    </row>
    <row r="25" spans="1:9" x14ac:dyDescent="0.3">
      <c r="A25" s="12" t="s">
        <v>8</v>
      </c>
      <c r="B25" s="9">
        <v>11</v>
      </c>
      <c r="C25" s="9">
        <v>7639</v>
      </c>
      <c r="D25" s="9">
        <v>2</v>
      </c>
      <c r="E25" s="9">
        <v>5048</v>
      </c>
      <c r="F25" s="9">
        <v>1</v>
      </c>
      <c r="G25" s="9">
        <v>399</v>
      </c>
      <c r="H25" s="9">
        <v>14</v>
      </c>
      <c r="I25" s="9">
        <v>13086</v>
      </c>
    </row>
    <row r="26" spans="1:9" x14ac:dyDescent="0.3">
      <c r="A26" s="11">
        <v>11</v>
      </c>
      <c r="B26" s="9">
        <v>8</v>
      </c>
      <c r="C26" s="9">
        <v>9292</v>
      </c>
      <c r="D26" s="9">
        <v>1</v>
      </c>
      <c r="E26" s="9">
        <v>149</v>
      </c>
      <c r="F26" s="9">
        <v>1</v>
      </c>
      <c r="G26" s="9">
        <v>1499</v>
      </c>
      <c r="H26" s="9">
        <v>10</v>
      </c>
      <c r="I26" s="9">
        <v>10940</v>
      </c>
    </row>
    <row r="27" spans="1:9" x14ac:dyDescent="0.3">
      <c r="A27" s="12" t="s">
        <v>5</v>
      </c>
      <c r="B27" s="9">
        <v>8</v>
      </c>
      <c r="C27" s="9">
        <v>9292</v>
      </c>
      <c r="D27" s="9">
        <v>1</v>
      </c>
      <c r="E27" s="9">
        <v>149</v>
      </c>
      <c r="F27" s="9">
        <v>1</v>
      </c>
      <c r="G27" s="9">
        <v>1499</v>
      </c>
      <c r="H27" s="9">
        <v>10</v>
      </c>
      <c r="I27" s="9">
        <v>10940</v>
      </c>
    </row>
    <row r="28" spans="1:9" x14ac:dyDescent="0.3">
      <c r="A28" s="11">
        <v>12</v>
      </c>
      <c r="B28" s="9">
        <v>11</v>
      </c>
      <c r="C28" s="9">
        <v>9389</v>
      </c>
      <c r="D28" s="9"/>
      <c r="E28" s="9"/>
      <c r="F28" s="9">
        <v>2</v>
      </c>
      <c r="G28" s="9">
        <v>998</v>
      </c>
      <c r="H28" s="9">
        <v>13</v>
      </c>
      <c r="I28" s="9">
        <v>10387</v>
      </c>
    </row>
    <row r="29" spans="1:9" x14ac:dyDescent="0.3">
      <c r="A29" s="12" t="s">
        <v>5</v>
      </c>
      <c r="B29" s="9">
        <v>11</v>
      </c>
      <c r="C29" s="9">
        <v>9389</v>
      </c>
      <c r="D29" s="9"/>
      <c r="E29" s="9"/>
      <c r="F29" s="9">
        <v>2</v>
      </c>
      <c r="G29" s="9">
        <v>998</v>
      </c>
      <c r="H29" s="9">
        <v>13</v>
      </c>
      <c r="I29" s="9">
        <v>10387</v>
      </c>
    </row>
    <row r="30" spans="1:9" x14ac:dyDescent="0.3">
      <c r="A30" s="11">
        <v>13</v>
      </c>
      <c r="B30" s="9">
        <v>10</v>
      </c>
      <c r="C30" s="9">
        <v>10390</v>
      </c>
      <c r="D30" s="9">
        <v>1</v>
      </c>
      <c r="E30" s="9">
        <v>4999</v>
      </c>
      <c r="F30" s="9">
        <v>1</v>
      </c>
      <c r="G30" s="9">
        <v>2999</v>
      </c>
      <c r="H30" s="9">
        <v>12</v>
      </c>
      <c r="I30" s="9">
        <v>18388</v>
      </c>
    </row>
    <row r="31" spans="1:9" x14ac:dyDescent="0.3">
      <c r="A31" s="12" t="s">
        <v>25</v>
      </c>
      <c r="B31" s="9">
        <v>10</v>
      </c>
      <c r="C31" s="9">
        <v>10390</v>
      </c>
      <c r="D31" s="9">
        <v>1</v>
      </c>
      <c r="E31" s="9">
        <v>4999</v>
      </c>
      <c r="F31" s="9">
        <v>1</v>
      </c>
      <c r="G31" s="9">
        <v>2999</v>
      </c>
      <c r="H31" s="9">
        <v>12</v>
      </c>
      <c r="I31" s="9">
        <v>18388</v>
      </c>
    </row>
    <row r="32" spans="1:9" x14ac:dyDescent="0.3">
      <c r="A32" s="11">
        <v>14</v>
      </c>
      <c r="B32" s="9">
        <v>11</v>
      </c>
      <c r="C32" s="9">
        <v>6189</v>
      </c>
      <c r="D32" s="9"/>
      <c r="E32" s="9"/>
      <c r="F32" s="9">
        <v>1</v>
      </c>
      <c r="G32" s="9">
        <v>299</v>
      </c>
      <c r="H32" s="9">
        <v>12</v>
      </c>
      <c r="I32" s="9">
        <v>6488</v>
      </c>
    </row>
    <row r="33" spans="1:9" x14ac:dyDescent="0.3">
      <c r="A33" s="12" t="s">
        <v>8</v>
      </c>
      <c r="B33" s="9">
        <v>11</v>
      </c>
      <c r="C33" s="9">
        <v>6189</v>
      </c>
      <c r="D33" s="9"/>
      <c r="E33" s="9"/>
      <c r="F33" s="9">
        <v>1</v>
      </c>
      <c r="G33" s="9">
        <v>299</v>
      </c>
      <c r="H33" s="9">
        <v>12</v>
      </c>
      <c r="I33" s="9">
        <v>6488</v>
      </c>
    </row>
    <row r="34" spans="1:9" x14ac:dyDescent="0.3">
      <c r="A34" s="11">
        <v>15</v>
      </c>
      <c r="B34" s="9">
        <v>11</v>
      </c>
      <c r="C34" s="9">
        <v>7439</v>
      </c>
      <c r="D34" s="9"/>
      <c r="E34" s="9"/>
      <c r="F34" s="9">
        <v>1</v>
      </c>
      <c r="G34" s="9">
        <v>399</v>
      </c>
      <c r="H34" s="9">
        <v>12</v>
      </c>
      <c r="I34" s="9">
        <v>7838</v>
      </c>
    </row>
    <row r="35" spans="1:9" x14ac:dyDescent="0.3">
      <c r="A35" s="12" t="s">
        <v>25</v>
      </c>
      <c r="B35" s="9">
        <v>11</v>
      </c>
      <c r="C35" s="9">
        <v>7439</v>
      </c>
      <c r="D35" s="9"/>
      <c r="E35" s="9"/>
      <c r="F35" s="9">
        <v>1</v>
      </c>
      <c r="G35" s="9">
        <v>399</v>
      </c>
      <c r="H35" s="9">
        <v>12</v>
      </c>
      <c r="I35" s="9">
        <v>7838</v>
      </c>
    </row>
    <row r="36" spans="1:9" x14ac:dyDescent="0.3">
      <c r="A36" s="11">
        <v>16</v>
      </c>
      <c r="B36" s="9">
        <v>17</v>
      </c>
      <c r="C36" s="9">
        <v>10183</v>
      </c>
      <c r="D36" s="9"/>
      <c r="E36" s="9"/>
      <c r="F36" s="9">
        <v>3</v>
      </c>
      <c r="G36" s="9">
        <v>947</v>
      </c>
      <c r="H36" s="9">
        <v>20</v>
      </c>
      <c r="I36" s="9">
        <v>11130</v>
      </c>
    </row>
    <row r="37" spans="1:9" x14ac:dyDescent="0.3">
      <c r="A37" s="12" t="s">
        <v>29</v>
      </c>
      <c r="B37" s="9">
        <v>17</v>
      </c>
      <c r="C37" s="9">
        <v>10183</v>
      </c>
      <c r="D37" s="9"/>
      <c r="E37" s="9"/>
      <c r="F37" s="9">
        <v>3</v>
      </c>
      <c r="G37" s="9">
        <v>947</v>
      </c>
      <c r="H37" s="9">
        <v>20</v>
      </c>
      <c r="I37" s="9">
        <v>11130</v>
      </c>
    </row>
    <row r="38" spans="1:9" x14ac:dyDescent="0.3">
      <c r="A38" s="11">
        <v>17</v>
      </c>
      <c r="B38" s="9">
        <v>12</v>
      </c>
      <c r="C38" s="9">
        <v>12738</v>
      </c>
      <c r="D38" s="9"/>
      <c r="E38" s="9"/>
      <c r="F38" s="9">
        <v>1</v>
      </c>
      <c r="G38" s="9">
        <v>299</v>
      </c>
      <c r="H38" s="9">
        <v>13</v>
      </c>
      <c r="I38" s="9">
        <v>13037</v>
      </c>
    </row>
    <row r="39" spans="1:9" x14ac:dyDescent="0.3">
      <c r="A39" s="12" t="s">
        <v>8</v>
      </c>
      <c r="B39" s="9">
        <v>12</v>
      </c>
      <c r="C39" s="9">
        <v>12738</v>
      </c>
      <c r="D39" s="9"/>
      <c r="E39" s="9"/>
      <c r="F39" s="9">
        <v>1</v>
      </c>
      <c r="G39" s="9">
        <v>299</v>
      </c>
      <c r="H39" s="9">
        <v>13</v>
      </c>
      <c r="I39" s="9">
        <v>13037</v>
      </c>
    </row>
    <row r="40" spans="1:9" x14ac:dyDescent="0.3">
      <c r="A40" s="11">
        <v>18</v>
      </c>
      <c r="B40" s="9">
        <v>11</v>
      </c>
      <c r="C40" s="9">
        <v>7089</v>
      </c>
      <c r="D40" s="9"/>
      <c r="E40" s="9"/>
      <c r="F40" s="9"/>
      <c r="G40" s="9"/>
      <c r="H40" s="9">
        <v>11</v>
      </c>
      <c r="I40" s="9">
        <v>7089</v>
      </c>
    </row>
    <row r="41" spans="1:9" x14ac:dyDescent="0.3">
      <c r="A41" s="12" t="s">
        <v>8</v>
      </c>
      <c r="B41" s="9">
        <v>11</v>
      </c>
      <c r="C41" s="9">
        <v>7089</v>
      </c>
      <c r="D41" s="9"/>
      <c r="E41" s="9"/>
      <c r="F41" s="9"/>
      <c r="G41" s="9"/>
      <c r="H41" s="9">
        <v>11</v>
      </c>
      <c r="I41" s="9">
        <v>7089</v>
      </c>
    </row>
    <row r="42" spans="1:9" x14ac:dyDescent="0.3">
      <c r="A42" s="11">
        <v>19</v>
      </c>
      <c r="B42" s="9">
        <v>11</v>
      </c>
      <c r="C42" s="9">
        <v>7239</v>
      </c>
      <c r="D42" s="9">
        <v>1</v>
      </c>
      <c r="E42" s="9">
        <v>4999</v>
      </c>
      <c r="F42" s="9">
        <v>2</v>
      </c>
      <c r="G42" s="9">
        <v>598</v>
      </c>
      <c r="H42" s="9">
        <v>14</v>
      </c>
      <c r="I42" s="9">
        <v>12836</v>
      </c>
    </row>
    <row r="43" spans="1:9" x14ac:dyDescent="0.3">
      <c r="A43" s="12" t="s">
        <v>8</v>
      </c>
      <c r="B43" s="9">
        <v>11</v>
      </c>
      <c r="C43" s="9">
        <v>7239</v>
      </c>
      <c r="D43" s="9">
        <v>1</v>
      </c>
      <c r="E43" s="9">
        <v>4999</v>
      </c>
      <c r="F43" s="9">
        <v>2</v>
      </c>
      <c r="G43" s="9">
        <v>598</v>
      </c>
      <c r="H43" s="9">
        <v>14</v>
      </c>
      <c r="I43" s="9">
        <v>12836</v>
      </c>
    </row>
    <row r="44" spans="1:9" x14ac:dyDescent="0.3">
      <c r="A44" s="11">
        <v>20</v>
      </c>
      <c r="B44" s="9">
        <v>8</v>
      </c>
      <c r="C44" s="9">
        <v>4192</v>
      </c>
      <c r="D44" s="9"/>
      <c r="E44" s="9"/>
      <c r="F44" s="9">
        <v>1</v>
      </c>
      <c r="G44" s="9">
        <v>49</v>
      </c>
      <c r="H44" s="9">
        <v>9</v>
      </c>
      <c r="I44" s="9">
        <v>4241</v>
      </c>
    </row>
    <row r="45" spans="1:9" x14ac:dyDescent="0.3">
      <c r="A45" s="12" t="s">
        <v>16</v>
      </c>
      <c r="B45" s="9">
        <v>8</v>
      </c>
      <c r="C45" s="9">
        <v>4192</v>
      </c>
      <c r="D45" s="9"/>
      <c r="E45" s="9"/>
      <c r="F45" s="9">
        <v>1</v>
      </c>
      <c r="G45" s="9">
        <v>49</v>
      </c>
      <c r="H45" s="9">
        <v>9</v>
      </c>
      <c r="I45" s="9">
        <v>4241</v>
      </c>
    </row>
    <row r="46" spans="1:9" x14ac:dyDescent="0.3">
      <c r="A46" s="11">
        <v>21</v>
      </c>
      <c r="B46" s="9">
        <v>13</v>
      </c>
      <c r="C46" s="9">
        <v>3887</v>
      </c>
      <c r="D46" s="9"/>
      <c r="E46" s="9"/>
      <c r="F46" s="9">
        <v>1</v>
      </c>
      <c r="G46" s="9">
        <v>4999</v>
      </c>
      <c r="H46" s="9">
        <v>14</v>
      </c>
      <c r="I46" s="9">
        <v>8886</v>
      </c>
    </row>
    <row r="47" spans="1:9" x14ac:dyDescent="0.3">
      <c r="A47" s="12" t="s">
        <v>16</v>
      </c>
      <c r="B47" s="9">
        <v>13</v>
      </c>
      <c r="C47" s="9">
        <v>3887</v>
      </c>
      <c r="D47" s="9"/>
      <c r="E47" s="9"/>
      <c r="F47" s="9">
        <v>1</v>
      </c>
      <c r="G47" s="9">
        <v>4999</v>
      </c>
      <c r="H47" s="9">
        <v>14</v>
      </c>
      <c r="I47" s="9">
        <v>8886</v>
      </c>
    </row>
    <row r="48" spans="1:9" x14ac:dyDescent="0.3">
      <c r="A48" s="11">
        <v>22</v>
      </c>
      <c r="B48" s="9">
        <v>14</v>
      </c>
      <c r="C48" s="9">
        <v>11336</v>
      </c>
      <c r="D48" s="9"/>
      <c r="E48" s="9"/>
      <c r="F48" s="9">
        <v>2</v>
      </c>
      <c r="G48" s="9">
        <v>1198</v>
      </c>
      <c r="H48" s="9">
        <v>16</v>
      </c>
      <c r="I48" s="9">
        <v>12534</v>
      </c>
    </row>
    <row r="49" spans="1:9" x14ac:dyDescent="0.3">
      <c r="A49" s="12" t="s">
        <v>25</v>
      </c>
      <c r="B49" s="9">
        <v>14</v>
      </c>
      <c r="C49" s="9">
        <v>11336</v>
      </c>
      <c r="D49" s="9"/>
      <c r="E49" s="9"/>
      <c r="F49" s="9">
        <v>2</v>
      </c>
      <c r="G49" s="9">
        <v>1198</v>
      </c>
      <c r="H49" s="9">
        <v>16</v>
      </c>
      <c r="I49" s="9">
        <v>12534</v>
      </c>
    </row>
    <row r="50" spans="1:9" x14ac:dyDescent="0.3">
      <c r="A50" s="11">
        <v>23</v>
      </c>
      <c r="B50" s="9">
        <v>9</v>
      </c>
      <c r="C50" s="9">
        <v>1041</v>
      </c>
      <c r="D50" s="9">
        <v>1</v>
      </c>
      <c r="E50" s="9">
        <v>1999</v>
      </c>
      <c r="F50" s="9"/>
      <c r="G50" s="9"/>
      <c r="H50" s="9">
        <v>10</v>
      </c>
      <c r="I50" s="9">
        <v>3040</v>
      </c>
    </row>
    <row r="51" spans="1:9" x14ac:dyDescent="0.3">
      <c r="A51" s="12" t="s">
        <v>25</v>
      </c>
      <c r="B51" s="9">
        <v>9</v>
      </c>
      <c r="C51" s="9">
        <v>1041</v>
      </c>
      <c r="D51" s="9">
        <v>1</v>
      </c>
      <c r="E51" s="9">
        <v>1999</v>
      </c>
      <c r="F51" s="9"/>
      <c r="G51" s="9"/>
      <c r="H51" s="9">
        <v>10</v>
      </c>
      <c r="I51" s="9">
        <v>3040</v>
      </c>
    </row>
    <row r="52" spans="1:9" x14ac:dyDescent="0.3">
      <c r="A52" s="11">
        <v>24</v>
      </c>
      <c r="B52" s="9">
        <v>12</v>
      </c>
      <c r="C52" s="9">
        <v>3438</v>
      </c>
      <c r="D52" s="9">
        <v>1</v>
      </c>
      <c r="E52" s="9">
        <v>149</v>
      </c>
      <c r="F52" s="9"/>
      <c r="G52" s="9"/>
      <c r="H52" s="9">
        <v>13</v>
      </c>
      <c r="I52" s="9">
        <v>3587</v>
      </c>
    </row>
    <row r="53" spans="1:9" x14ac:dyDescent="0.3">
      <c r="A53" s="12" t="s">
        <v>8</v>
      </c>
      <c r="B53" s="9">
        <v>12</v>
      </c>
      <c r="C53" s="9">
        <v>3438</v>
      </c>
      <c r="D53" s="9">
        <v>1</v>
      </c>
      <c r="E53" s="9">
        <v>149</v>
      </c>
      <c r="F53" s="9"/>
      <c r="G53" s="9"/>
      <c r="H53" s="9">
        <v>13</v>
      </c>
      <c r="I53" s="9">
        <v>3587</v>
      </c>
    </row>
    <row r="54" spans="1:9" x14ac:dyDescent="0.3">
      <c r="A54" s="11">
        <v>25</v>
      </c>
      <c r="B54" s="9">
        <v>16</v>
      </c>
      <c r="C54" s="9">
        <v>12534</v>
      </c>
      <c r="D54" s="9">
        <v>1</v>
      </c>
      <c r="E54" s="9">
        <v>2999</v>
      </c>
      <c r="F54" s="9"/>
      <c r="G54" s="9"/>
      <c r="H54" s="9">
        <v>17</v>
      </c>
      <c r="I54" s="9">
        <v>15533</v>
      </c>
    </row>
    <row r="55" spans="1:9" x14ac:dyDescent="0.3">
      <c r="A55" s="12" t="s">
        <v>25</v>
      </c>
      <c r="B55" s="9">
        <v>16</v>
      </c>
      <c r="C55" s="9">
        <v>12534</v>
      </c>
      <c r="D55" s="9">
        <v>1</v>
      </c>
      <c r="E55" s="9">
        <v>2999</v>
      </c>
      <c r="F55" s="9"/>
      <c r="G55" s="9"/>
      <c r="H55" s="9">
        <v>17</v>
      </c>
      <c r="I55" s="9">
        <v>15533</v>
      </c>
    </row>
    <row r="56" spans="1:9" x14ac:dyDescent="0.3">
      <c r="A56" s="11">
        <v>26</v>
      </c>
      <c r="B56" s="9">
        <v>9</v>
      </c>
      <c r="C56" s="9">
        <v>2991</v>
      </c>
      <c r="D56" s="9"/>
      <c r="E56" s="9"/>
      <c r="F56" s="9">
        <v>3</v>
      </c>
      <c r="G56" s="9">
        <v>2197</v>
      </c>
      <c r="H56" s="9">
        <v>12</v>
      </c>
      <c r="I56" s="9">
        <v>5188</v>
      </c>
    </row>
    <row r="57" spans="1:9" x14ac:dyDescent="0.3">
      <c r="A57" s="12" t="s">
        <v>16</v>
      </c>
      <c r="B57" s="9">
        <v>9</v>
      </c>
      <c r="C57" s="9">
        <v>2991</v>
      </c>
      <c r="D57" s="9"/>
      <c r="E57" s="9"/>
      <c r="F57" s="9">
        <v>3</v>
      </c>
      <c r="G57" s="9">
        <v>2197</v>
      </c>
      <c r="H57" s="9">
        <v>12</v>
      </c>
      <c r="I57" s="9">
        <v>5188</v>
      </c>
    </row>
    <row r="58" spans="1:9" x14ac:dyDescent="0.3">
      <c r="A58" s="11">
        <v>27</v>
      </c>
      <c r="B58" s="9">
        <v>12</v>
      </c>
      <c r="C58" s="9">
        <v>8038</v>
      </c>
      <c r="D58" s="9">
        <v>3</v>
      </c>
      <c r="E58" s="9">
        <v>4047</v>
      </c>
      <c r="F58" s="9">
        <v>1</v>
      </c>
      <c r="G58" s="9">
        <v>1499</v>
      </c>
      <c r="H58" s="9">
        <v>16</v>
      </c>
      <c r="I58" s="9">
        <v>13584</v>
      </c>
    </row>
    <row r="59" spans="1:9" x14ac:dyDescent="0.3">
      <c r="A59" s="12" t="s">
        <v>5</v>
      </c>
      <c r="B59" s="9">
        <v>12</v>
      </c>
      <c r="C59" s="9">
        <v>8038</v>
      </c>
      <c r="D59" s="9">
        <v>3</v>
      </c>
      <c r="E59" s="9">
        <v>4047</v>
      </c>
      <c r="F59" s="9">
        <v>1</v>
      </c>
      <c r="G59" s="9">
        <v>1499</v>
      </c>
      <c r="H59" s="9">
        <v>16</v>
      </c>
      <c r="I59" s="9">
        <v>13584</v>
      </c>
    </row>
    <row r="60" spans="1:9" x14ac:dyDescent="0.3">
      <c r="A60" s="11">
        <v>28</v>
      </c>
      <c r="B60" s="9">
        <v>7</v>
      </c>
      <c r="C60" s="9">
        <v>4493</v>
      </c>
      <c r="D60" s="9">
        <v>1</v>
      </c>
      <c r="E60" s="9">
        <v>1999</v>
      </c>
      <c r="F60" s="9">
        <v>2</v>
      </c>
      <c r="G60" s="9">
        <v>3048</v>
      </c>
      <c r="H60" s="9">
        <v>10</v>
      </c>
      <c r="I60" s="9">
        <v>9540</v>
      </c>
    </row>
    <row r="61" spans="1:9" x14ac:dyDescent="0.3">
      <c r="A61" s="12" t="s">
        <v>5</v>
      </c>
      <c r="B61" s="9">
        <v>7</v>
      </c>
      <c r="C61" s="9">
        <v>4493</v>
      </c>
      <c r="D61" s="9">
        <v>1</v>
      </c>
      <c r="E61" s="9">
        <v>1999</v>
      </c>
      <c r="F61" s="9">
        <v>2</v>
      </c>
      <c r="G61" s="9">
        <v>3048</v>
      </c>
      <c r="H61" s="9">
        <v>10</v>
      </c>
      <c r="I61" s="9">
        <v>9540</v>
      </c>
    </row>
    <row r="62" spans="1:9" x14ac:dyDescent="0.3">
      <c r="A62" s="11">
        <v>29</v>
      </c>
      <c r="B62" s="9">
        <v>14</v>
      </c>
      <c r="C62" s="9">
        <v>5686</v>
      </c>
      <c r="D62" s="9">
        <v>3</v>
      </c>
      <c r="E62" s="9">
        <v>3897</v>
      </c>
      <c r="F62" s="9">
        <v>2</v>
      </c>
      <c r="G62" s="9">
        <v>3498</v>
      </c>
      <c r="H62" s="9">
        <v>19</v>
      </c>
      <c r="I62" s="9">
        <v>13081</v>
      </c>
    </row>
    <row r="63" spans="1:9" x14ac:dyDescent="0.3">
      <c r="A63" s="12" t="s">
        <v>5</v>
      </c>
      <c r="B63" s="9">
        <v>14</v>
      </c>
      <c r="C63" s="9">
        <v>5686</v>
      </c>
      <c r="D63" s="9">
        <v>3</v>
      </c>
      <c r="E63" s="9">
        <v>3897</v>
      </c>
      <c r="F63" s="9">
        <v>2</v>
      </c>
      <c r="G63" s="9">
        <v>3498</v>
      </c>
      <c r="H63" s="9">
        <v>19</v>
      </c>
      <c r="I63" s="9">
        <v>13081</v>
      </c>
    </row>
    <row r="64" spans="1:9" x14ac:dyDescent="0.3">
      <c r="A64" s="11">
        <v>30</v>
      </c>
      <c r="B64" s="9">
        <v>16</v>
      </c>
      <c r="C64" s="9">
        <v>7384</v>
      </c>
      <c r="D64" s="9"/>
      <c r="E64" s="9"/>
      <c r="F64" s="9">
        <v>1</v>
      </c>
      <c r="G64" s="9">
        <v>499</v>
      </c>
      <c r="H64" s="9">
        <v>17</v>
      </c>
      <c r="I64" s="9">
        <v>7883</v>
      </c>
    </row>
    <row r="65" spans="1:9" x14ac:dyDescent="0.3">
      <c r="A65" s="12" t="s">
        <v>25</v>
      </c>
      <c r="B65" s="9">
        <v>16</v>
      </c>
      <c r="C65" s="9">
        <v>7384</v>
      </c>
      <c r="D65" s="9"/>
      <c r="E65" s="9"/>
      <c r="F65" s="9">
        <v>1</v>
      </c>
      <c r="G65" s="9">
        <v>499</v>
      </c>
      <c r="H65" s="9">
        <v>17</v>
      </c>
      <c r="I65" s="9">
        <v>7883</v>
      </c>
    </row>
    <row r="66" spans="1:9" x14ac:dyDescent="0.3">
      <c r="A66" s="11">
        <v>31</v>
      </c>
      <c r="B66" s="9">
        <v>10</v>
      </c>
      <c r="C66" s="9">
        <v>2640</v>
      </c>
      <c r="D66" s="9">
        <v>1</v>
      </c>
      <c r="E66" s="9">
        <v>49</v>
      </c>
      <c r="F66" s="9">
        <v>4</v>
      </c>
      <c r="G66" s="9">
        <v>2146</v>
      </c>
      <c r="H66" s="9">
        <v>15</v>
      </c>
      <c r="I66" s="9">
        <v>4835</v>
      </c>
    </row>
    <row r="67" spans="1:9" x14ac:dyDescent="0.3">
      <c r="A67" s="12" t="s">
        <v>29</v>
      </c>
      <c r="B67" s="9">
        <v>10</v>
      </c>
      <c r="C67" s="9">
        <v>2640</v>
      </c>
      <c r="D67" s="9">
        <v>1</v>
      </c>
      <c r="E67" s="9">
        <v>49</v>
      </c>
      <c r="F67" s="9">
        <v>4</v>
      </c>
      <c r="G67" s="9">
        <v>2146</v>
      </c>
      <c r="H67" s="9">
        <v>15</v>
      </c>
      <c r="I67" s="9">
        <v>4835</v>
      </c>
    </row>
    <row r="68" spans="1:9" x14ac:dyDescent="0.3">
      <c r="A68" s="11">
        <v>32</v>
      </c>
      <c r="B68" s="9">
        <v>11</v>
      </c>
      <c r="C68" s="9">
        <v>2589</v>
      </c>
      <c r="D68" s="9">
        <v>1</v>
      </c>
      <c r="E68" s="9">
        <v>1999</v>
      </c>
      <c r="F68" s="9">
        <v>2</v>
      </c>
      <c r="G68" s="9">
        <v>3498</v>
      </c>
      <c r="H68" s="9">
        <v>14</v>
      </c>
      <c r="I68" s="9">
        <v>8086</v>
      </c>
    </row>
    <row r="69" spans="1:9" x14ac:dyDescent="0.3">
      <c r="A69" s="12" t="s">
        <v>16</v>
      </c>
      <c r="B69" s="9">
        <v>11</v>
      </c>
      <c r="C69" s="9">
        <v>2589</v>
      </c>
      <c r="D69" s="9">
        <v>1</v>
      </c>
      <c r="E69" s="9">
        <v>1999</v>
      </c>
      <c r="F69" s="9">
        <v>2</v>
      </c>
      <c r="G69" s="9">
        <v>3498</v>
      </c>
      <c r="H69" s="9">
        <v>14</v>
      </c>
      <c r="I69" s="9">
        <v>8086</v>
      </c>
    </row>
    <row r="70" spans="1:9" x14ac:dyDescent="0.3">
      <c r="A70" s="11">
        <v>33</v>
      </c>
      <c r="B70" s="9">
        <v>10</v>
      </c>
      <c r="C70" s="9">
        <v>10190</v>
      </c>
      <c r="D70" s="9"/>
      <c r="E70" s="9"/>
      <c r="F70" s="9">
        <v>1</v>
      </c>
      <c r="G70" s="9">
        <v>149</v>
      </c>
      <c r="H70" s="9">
        <v>11</v>
      </c>
      <c r="I70" s="9">
        <v>10339</v>
      </c>
    </row>
    <row r="71" spans="1:9" x14ac:dyDescent="0.3">
      <c r="A71" s="12" t="s">
        <v>29</v>
      </c>
      <c r="B71" s="9">
        <v>10</v>
      </c>
      <c r="C71" s="9">
        <v>10190</v>
      </c>
      <c r="D71" s="9"/>
      <c r="E71" s="9"/>
      <c r="F71" s="9">
        <v>1</v>
      </c>
      <c r="G71" s="9">
        <v>149</v>
      </c>
      <c r="H71" s="9">
        <v>11</v>
      </c>
      <c r="I71" s="9">
        <v>10339</v>
      </c>
    </row>
    <row r="72" spans="1:9" x14ac:dyDescent="0.3">
      <c r="A72" s="11">
        <v>34</v>
      </c>
      <c r="B72" s="9">
        <v>15</v>
      </c>
      <c r="C72" s="9">
        <v>9635</v>
      </c>
      <c r="D72" s="9"/>
      <c r="E72" s="9"/>
      <c r="F72" s="9">
        <v>1</v>
      </c>
      <c r="G72" s="9">
        <v>399</v>
      </c>
      <c r="H72" s="9">
        <v>16</v>
      </c>
      <c r="I72" s="9">
        <v>10034</v>
      </c>
    </row>
    <row r="73" spans="1:9" x14ac:dyDescent="0.3">
      <c r="A73" s="12" t="s">
        <v>25</v>
      </c>
      <c r="B73" s="9">
        <v>15</v>
      </c>
      <c r="C73" s="9">
        <v>9635</v>
      </c>
      <c r="D73" s="9"/>
      <c r="E73" s="9"/>
      <c r="F73" s="9">
        <v>1</v>
      </c>
      <c r="G73" s="9">
        <v>399</v>
      </c>
      <c r="H73" s="9">
        <v>16</v>
      </c>
      <c r="I73" s="9">
        <v>10034</v>
      </c>
    </row>
    <row r="74" spans="1:9" x14ac:dyDescent="0.3">
      <c r="A74" s="11">
        <v>35</v>
      </c>
      <c r="B74" s="9">
        <v>12</v>
      </c>
      <c r="C74" s="9">
        <v>8688</v>
      </c>
      <c r="D74" s="9"/>
      <c r="E74" s="9"/>
      <c r="F74" s="9">
        <v>2</v>
      </c>
      <c r="G74" s="9">
        <v>598</v>
      </c>
      <c r="H74" s="9">
        <v>14</v>
      </c>
      <c r="I74" s="9">
        <v>9286</v>
      </c>
    </row>
    <row r="75" spans="1:9" x14ac:dyDescent="0.3">
      <c r="A75" s="12" t="s">
        <v>14</v>
      </c>
      <c r="B75" s="9">
        <v>12</v>
      </c>
      <c r="C75" s="9">
        <v>8688</v>
      </c>
      <c r="D75" s="9"/>
      <c r="E75" s="9"/>
      <c r="F75" s="9">
        <v>2</v>
      </c>
      <c r="G75" s="9">
        <v>598</v>
      </c>
      <c r="H75" s="9">
        <v>14</v>
      </c>
      <c r="I75" s="9">
        <v>9286</v>
      </c>
    </row>
    <row r="76" spans="1:9" x14ac:dyDescent="0.3">
      <c r="A76" s="11">
        <v>36</v>
      </c>
      <c r="B76" s="9">
        <v>15</v>
      </c>
      <c r="C76" s="9">
        <v>11535</v>
      </c>
      <c r="D76" s="9">
        <v>1</v>
      </c>
      <c r="E76" s="9">
        <v>999</v>
      </c>
      <c r="F76" s="9"/>
      <c r="G76" s="9"/>
      <c r="H76" s="9">
        <v>16</v>
      </c>
      <c r="I76" s="9">
        <v>12534</v>
      </c>
    </row>
    <row r="77" spans="1:9" x14ac:dyDescent="0.3">
      <c r="A77" s="12" t="s">
        <v>50</v>
      </c>
      <c r="B77" s="9">
        <v>15</v>
      </c>
      <c r="C77" s="9">
        <v>11535</v>
      </c>
      <c r="D77" s="9">
        <v>1</v>
      </c>
      <c r="E77" s="9">
        <v>999</v>
      </c>
      <c r="F77" s="9"/>
      <c r="G77" s="9"/>
      <c r="H77" s="9">
        <v>16</v>
      </c>
      <c r="I77" s="9">
        <v>12534</v>
      </c>
    </row>
    <row r="78" spans="1:9" x14ac:dyDescent="0.3">
      <c r="A78" s="11">
        <v>37</v>
      </c>
      <c r="B78" s="9">
        <v>17</v>
      </c>
      <c r="C78" s="9">
        <v>10833</v>
      </c>
      <c r="D78" s="9">
        <v>1</v>
      </c>
      <c r="E78" s="9">
        <v>1999</v>
      </c>
      <c r="F78" s="9">
        <v>1</v>
      </c>
      <c r="G78" s="9">
        <v>99</v>
      </c>
      <c r="H78" s="9">
        <v>19</v>
      </c>
      <c r="I78" s="9">
        <v>12931</v>
      </c>
    </row>
    <row r="79" spans="1:9" x14ac:dyDescent="0.3">
      <c r="A79" s="12" t="s">
        <v>50</v>
      </c>
      <c r="B79" s="9">
        <v>17</v>
      </c>
      <c r="C79" s="9">
        <v>10833</v>
      </c>
      <c r="D79" s="9">
        <v>1</v>
      </c>
      <c r="E79" s="9">
        <v>1999</v>
      </c>
      <c r="F79" s="9">
        <v>1</v>
      </c>
      <c r="G79" s="9">
        <v>99</v>
      </c>
      <c r="H79" s="9">
        <v>19</v>
      </c>
      <c r="I79" s="9">
        <v>12931</v>
      </c>
    </row>
    <row r="80" spans="1:9" x14ac:dyDescent="0.3">
      <c r="A80" s="11">
        <v>38</v>
      </c>
      <c r="B80" s="9">
        <v>8</v>
      </c>
      <c r="C80" s="9">
        <v>3342</v>
      </c>
      <c r="D80" s="9"/>
      <c r="E80" s="9"/>
      <c r="F80" s="9">
        <v>2</v>
      </c>
      <c r="G80" s="9">
        <v>598</v>
      </c>
      <c r="H80" s="9">
        <v>10</v>
      </c>
      <c r="I80" s="9">
        <v>3940</v>
      </c>
    </row>
    <row r="81" spans="1:9" x14ac:dyDescent="0.3">
      <c r="A81" s="12" t="s">
        <v>8</v>
      </c>
      <c r="B81" s="9">
        <v>8</v>
      </c>
      <c r="C81" s="9">
        <v>3342</v>
      </c>
      <c r="D81" s="9"/>
      <c r="E81" s="9"/>
      <c r="F81" s="9">
        <v>2</v>
      </c>
      <c r="G81" s="9">
        <v>598</v>
      </c>
      <c r="H81" s="9">
        <v>10</v>
      </c>
      <c r="I81" s="9">
        <v>3940</v>
      </c>
    </row>
    <row r="82" spans="1:9" x14ac:dyDescent="0.3">
      <c r="A82" s="11">
        <v>39</v>
      </c>
      <c r="B82" s="9">
        <v>9</v>
      </c>
      <c r="C82" s="9">
        <v>11291</v>
      </c>
      <c r="D82" s="9">
        <v>3</v>
      </c>
      <c r="E82" s="9">
        <v>10997</v>
      </c>
      <c r="F82" s="9">
        <v>1</v>
      </c>
      <c r="G82" s="9">
        <v>399</v>
      </c>
      <c r="H82" s="9">
        <v>13</v>
      </c>
      <c r="I82" s="9">
        <v>22687</v>
      </c>
    </row>
    <row r="83" spans="1:9" x14ac:dyDescent="0.3">
      <c r="A83" s="12" t="s">
        <v>50</v>
      </c>
      <c r="B83" s="9">
        <v>9</v>
      </c>
      <c r="C83" s="9">
        <v>11291</v>
      </c>
      <c r="D83" s="9">
        <v>3</v>
      </c>
      <c r="E83" s="9">
        <v>10997</v>
      </c>
      <c r="F83" s="9">
        <v>1</v>
      </c>
      <c r="G83" s="9">
        <v>399</v>
      </c>
      <c r="H83" s="9">
        <v>13</v>
      </c>
      <c r="I83" s="9">
        <v>22687</v>
      </c>
    </row>
    <row r="84" spans="1:9" x14ac:dyDescent="0.3">
      <c r="A84" s="11">
        <v>40</v>
      </c>
      <c r="B84" s="9">
        <v>11</v>
      </c>
      <c r="C84" s="9">
        <v>3039</v>
      </c>
      <c r="D84" s="9">
        <v>2</v>
      </c>
      <c r="E84" s="9">
        <v>5148</v>
      </c>
      <c r="F84" s="9">
        <v>2</v>
      </c>
      <c r="G84" s="9">
        <v>548</v>
      </c>
      <c r="H84" s="9">
        <v>15</v>
      </c>
      <c r="I84" s="9">
        <v>8735</v>
      </c>
    </row>
    <row r="85" spans="1:9" x14ac:dyDescent="0.3">
      <c r="A85" s="12" t="s">
        <v>50</v>
      </c>
      <c r="B85" s="9">
        <v>11</v>
      </c>
      <c r="C85" s="9">
        <v>3039</v>
      </c>
      <c r="D85" s="9">
        <v>2</v>
      </c>
      <c r="E85" s="9">
        <v>5148</v>
      </c>
      <c r="F85" s="9">
        <v>2</v>
      </c>
      <c r="G85" s="9">
        <v>548</v>
      </c>
      <c r="H85" s="9">
        <v>15</v>
      </c>
      <c r="I85" s="9">
        <v>8735</v>
      </c>
    </row>
    <row r="86" spans="1:9" x14ac:dyDescent="0.3">
      <c r="A86" s="11" t="s">
        <v>621</v>
      </c>
      <c r="B86" s="9">
        <v>468</v>
      </c>
      <c r="C86" s="9">
        <v>290382</v>
      </c>
      <c r="D86" s="9">
        <v>28</v>
      </c>
      <c r="E86" s="9">
        <v>54472</v>
      </c>
      <c r="F86" s="9">
        <v>51</v>
      </c>
      <c r="G86" s="9">
        <v>37749</v>
      </c>
      <c r="H86" s="9">
        <v>547</v>
      </c>
      <c r="I86" s="9">
        <v>382603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A781-C4FE-4224-AAF2-6E2BC2B2BC89}">
  <dimension ref="A1:M548"/>
  <sheetViews>
    <sheetView workbookViewId="0">
      <selection activeCell="N9" sqref="N9"/>
    </sheetView>
  </sheetViews>
  <sheetFormatPr defaultRowHeight="14.4" x14ac:dyDescent="0.3"/>
  <cols>
    <col min="1" max="1" width="15.77734375" customWidth="1"/>
    <col min="3" max="3" width="11" bestFit="1" customWidth="1"/>
    <col min="4" max="4" width="14.109375" customWidth="1"/>
    <col min="5" max="6" width="11" customWidth="1"/>
    <col min="7" max="7" width="17.21875" customWidth="1"/>
    <col min="8" max="8" width="10" bestFit="1" customWidth="1"/>
    <col min="9" max="9" width="12.5546875" customWidth="1"/>
    <col min="12" max="12" width="12.5546875" customWidth="1"/>
    <col min="13" max="14" width="17.77734375" customWidth="1"/>
  </cols>
  <sheetData>
    <row r="1" spans="1:13" x14ac:dyDescent="0.3">
      <c r="A1" t="s">
        <v>55</v>
      </c>
      <c r="B1" t="s">
        <v>56</v>
      </c>
      <c r="C1" t="s">
        <v>0</v>
      </c>
      <c r="D1" t="s">
        <v>1</v>
      </c>
      <c r="E1" t="s">
        <v>2</v>
      </c>
      <c r="F1" t="s">
        <v>3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616</v>
      </c>
      <c r="M1" t="s">
        <v>619</v>
      </c>
    </row>
    <row r="2" spans="1:13" x14ac:dyDescent="0.3">
      <c r="A2" t="s">
        <v>62</v>
      </c>
      <c r="B2">
        <v>350</v>
      </c>
      <c r="C2">
        <v>16</v>
      </c>
      <c r="D2" t="str">
        <f>IFERROR(VLOOKUP(C2, merchants!$A$2:$D$41, 2, FALSE), "Merchant not found")</f>
        <v>Merchant_016</v>
      </c>
      <c r="E2" t="str">
        <f>IFERROR(VLOOKUP(C2, merchants!$A$2:$D$41, 3, FALSE), "Merchant not found")</f>
        <v>bill_payment</v>
      </c>
      <c r="F2" t="str">
        <f>IFERROR(VLOOKUP(C2, merchants!$A$2:$D$41, 4, FALSE), "Merchant not found")</f>
        <v>West</v>
      </c>
      <c r="G2" s="1">
        <v>46051.467361111114</v>
      </c>
      <c r="H2">
        <v>2999</v>
      </c>
      <c r="I2" t="s">
        <v>63</v>
      </c>
      <c r="J2" t="s">
        <v>64</v>
      </c>
      <c r="K2">
        <v>85</v>
      </c>
      <c r="L2">
        <f>IFERROR(HLOOKUP(TRIM(I2), FeeTable!$B$1:$H$2, 2, FALSE) * H2, 0)</f>
        <v>32.988999999999997</v>
      </c>
      <c r="M2" t="str">
        <f>IF(AND(H2 &gt; 5000, F2 &lt;&gt; "East"), "High-Value Merchant Day", "Standard")</f>
        <v>Standard</v>
      </c>
    </row>
    <row r="3" spans="1:13" x14ac:dyDescent="0.3">
      <c r="A3" t="s">
        <v>65</v>
      </c>
      <c r="B3">
        <v>287</v>
      </c>
      <c r="C3">
        <v>27</v>
      </c>
      <c r="D3" t="str">
        <f>IFERROR(VLOOKUP(C3, merchants!$A$2:$D$41, 2, FALSE), "Merchant not found")</f>
        <v>Merchant_027</v>
      </c>
      <c r="E3" t="str">
        <f>IFERROR(VLOOKUP(C3, merchants!$A$2:$D$41, 3, FALSE), "Merchant not found")</f>
        <v>ecommerce</v>
      </c>
      <c r="F3" t="str">
        <f>IFERROR(VLOOKUP(C3, merchants!$A$2:$D$41, 4, FALSE), "Merchant not found")</f>
        <v>North</v>
      </c>
      <c r="G3" s="1">
        <v>46026.492361111108</v>
      </c>
      <c r="H3">
        <v>49</v>
      </c>
      <c r="I3" t="s">
        <v>66</v>
      </c>
      <c r="J3" t="s">
        <v>64</v>
      </c>
      <c r="K3">
        <v>79</v>
      </c>
      <c r="L3">
        <f>IFERROR(HLOOKUP(TRIM(I3), FeeTable!$B$1:$H$2, 2, FALSE) * H3, 0)</f>
        <v>0</v>
      </c>
      <c r="M3" t="str">
        <f t="shared" ref="M3:M66" si="0">IF(AND(H3 &gt; 5000, F3 &lt;&gt; "East"), "High-Value Merchant Day", "Standard")</f>
        <v>Standard</v>
      </c>
    </row>
    <row r="4" spans="1:13" x14ac:dyDescent="0.3">
      <c r="A4" t="s">
        <v>67</v>
      </c>
      <c r="B4">
        <v>122</v>
      </c>
      <c r="C4">
        <v>11</v>
      </c>
      <c r="D4" t="str">
        <f>IFERROR(VLOOKUP(C4, merchants!$A$2:$D$41, 2, FALSE), "Merchant not found")</f>
        <v>Merchant_011</v>
      </c>
      <c r="E4" t="str">
        <f>IFERROR(VLOOKUP(C4, merchants!$A$2:$D$41, 3, FALSE), "Merchant not found")</f>
        <v>ecommerce</v>
      </c>
      <c r="F4" t="str">
        <f>IFERROR(VLOOKUP(C4, merchants!$A$2:$D$41, 4, FALSE), "Merchant not found")</f>
        <v>North</v>
      </c>
      <c r="G4" s="1">
        <v>46046.207638888889</v>
      </c>
      <c r="H4">
        <v>1499</v>
      </c>
      <c r="I4" t="s">
        <v>63</v>
      </c>
      <c r="J4" t="s">
        <v>64</v>
      </c>
      <c r="K4">
        <v>22</v>
      </c>
      <c r="L4">
        <f>IFERROR(HLOOKUP(TRIM(I4), FeeTable!$B$1:$H$2, 2, FALSE) * H4, 0)</f>
        <v>16.489000000000001</v>
      </c>
      <c r="M4" t="str">
        <f t="shared" si="0"/>
        <v>Standard</v>
      </c>
    </row>
    <row r="5" spans="1:13" x14ac:dyDescent="0.3">
      <c r="A5" t="s">
        <v>68</v>
      </c>
      <c r="B5">
        <v>92</v>
      </c>
      <c r="C5">
        <v>22</v>
      </c>
      <c r="D5" t="str">
        <f>IFERROR(VLOOKUP(C5, merchants!$A$2:$D$41, 2, FALSE), "Merchant not found")</f>
        <v>Merchant_022</v>
      </c>
      <c r="E5" t="str">
        <f>IFERROR(VLOOKUP(C5, merchants!$A$2:$D$41, 3, FALSE), "Merchant not found")</f>
        <v>travel</v>
      </c>
      <c r="F5" t="str">
        <f>IFERROR(VLOOKUP(C5, merchants!$A$2:$D$41, 4, FALSE), "Merchant not found")</f>
        <v>South</v>
      </c>
      <c r="G5" s="1">
        <v>46051.542361111111</v>
      </c>
      <c r="H5">
        <v>49</v>
      </c>
      <c r="I5" t="s">
        <v>69</v>
      </c>
      <c r="J5" t="s">
        <v>64</v>
      </c>
      <c r="K5">
        <v>100</v>
      </c>
      <c r="L5">
        <f>IFERROR(HLOOKUP(TRIM(I5), FeeTable!$B$1:$H$2, 2, FALSE) * H5, 0)</f>
        <v>0.73499999999999999</v>
      </c>
      <c r="M5" t="str">
        <f t="shared" si="0"/>
        <v>Standard</v>
      </c>
    </row>
    <row r="6" spans="1:13" x14ac:dyDescent="0.3">
      <c r="A6" t="s">
        <v>70</v>
      </c>
      <c r="B6">
        <v>343</v>
      </c>
      <c r="C6">
        <v>16</v>
      </c>
      <c r="D6" t="str">
        <f>IFERROR(VLOOKUP(C6, merchants!$A$2:$D$41, 2, FALSE), "Merchant not found")</f>
        <v>Merchant_016</v>
      </c>
      <c r="E6" t="str">
        <f>IFERROR(VLOOKUP(C6, merchants!$A$2:$D$41, 3, FALSE), "Merchant not found")</f>
        <v>bill_payment</v>
      </c>
      <c r="F6" t="str">
        <f>IFERROR(VLOOKUP(C6, merchants!$A$2:$D$41, 4, FALSE), "Merchant not found")</f>
        <v>West</v>
      </c>
      <c r="G6" s="1">
        <v>46052.57708333333</v>
      </c>
      <c r="H6">
        <v>99</v>
      </c>
      <c r="I6" t="s">
        <v>66</v>
      </c>
      <c r="J6" t="s">
        <v>64</v>
      </c>
      <c r="K6">
        <v>34</v>
      </c>
      <c r="L6">
        <f>IFERROR(HLOOKUP(TRIM(I6), FeeTable!$B$1:$H$2, 2, FALSE) * H6, 0)</f>
        <v>0</v>
      </c>
      <c r="M6" t="str">
        <f t="shared" si="0"/>
        <v>Standard</v>
      </c>
    </row>
    <row r="7" spans="1:13" x14ac:dyDescent="0.3">
      <c r="A7" t="s">
        <v>71</v>
      </c>
      <c r="B7">
        <v>196</v>
      </c>
      <c r="C7">
        <v>3</v>
      </c>
      <c r="D7" t="str">
        <f>IFERROR(VLOOKUP(C7, merchants!$A$2:$D$41, 2, FALSE), "Merchant not found")</f>
        <v>Merchant_003</v>
      </c>
      <c r="E7" t="str">
        <f>IFERROR(VLOOKUP(C7, merchants!$A$2:$D$41, 3, FALSE), "Merchant not found")</f>
        <v>grocery</v>
      </c>
      <c r="F7" t="str">
        <f>IFERROR(VLOOKUP(C7, merchants!$A$2:$D$41, 4, FALSE), "Merchant not found")</f>
        <v>East</v>
      </c>
      <c r="G7" s="1">
        <v>46028.92083333333</v>
      </c>
      <c r="H7">
        <v>99</v>
      </c>
      <c r="I7" t="s">
        <v>66</v>
      </c>
      <c r="J7" t="s">
        <v>64</v>
      </c>
      <c r="K7">
        <v>60</v>
      </c>
      <c r="L7">
        <f>IFERROR(HLOOKUP(TRIM(I7), FeeTable!$B$1:$H$2, 2, FALSE) * H7, 0)</f>
        <v>0</v>
      </c>
      <c r="M7" t="str">
        <f t="shared" si="0"/>
        <v>Standard</v>
      </c>
    </row>
    <row r="8" spans="1:13" x14ac:dyDescent="0.3">
      <c r="A8" t="s">
        <v>72</v>
      </c>
      <c r="B8">
        <v>236</v>
      </c>
      <c r="C8">
        <v>23</v>
      </c>
      <c r="D8" t="str">
        <f>IFERROR(VLOOKUP(C8, merchants!$A$2:$D$41, 2, FALSE), "Merchant not found")</f>
        <v>Merchant_023</v>
      </c>
      <c r="E8" t="str">
        <f>IFERROR(VLOOKUP(C8, merchants!$A$2:$D$41, 3, FALSE), "Merchant not found")</f>
        <v>travel</v>
      </c>
      <c r="F8" t="str">
        <f>IFERROR(VLOOKUP(C8, merchants!$A$2:$D$41, 4, FALSE), "Merchant not found")</f>
        <v>North</v>
      </c>
      <c r="G8" s="1">
        <v>46030.286111111112</v>
      </c>
      <c r="H8">
        <v>99</v>
      </c>
      <c r="I8" t="s">
        <v>63</v>
      </c>
      <c r="J8" t="s">
        <v>64</v>
      </c>
      <c r="K8">
        <v>39</v>
      </c>
      <c r="L8">
        <f>IFERROR(HLOOKUP(TRIM(I8), FeeTable!$B$1:$H$2, 2, FALSE) * H8, 0)</f>
        <v>1.089</v>
      </c>
      <c r="M8" t="str">
        <f t="shared" si="0"/>
        <v>Standard</v>
      </c>
    </row>
    <row r="9" spans="1:13" x14ac:dyDescent="0.3">
      <c r="A9" t="s">
        <v>73</v>
      </c>
      <c r="B9">
        <v>13</v>
      </c>
      <c r="C9">
        <v>13</v>
      </c>
      <c r="D9" t="str">
        <f>IFERROR(VLOOKUP(C9, merchants!$A$2:$D$41, 2, FALSE), "Merchant not found")</f>
        <v>Merchant_013</v>
      </c>
      <c r="E9" t="str">
        <f>IFERROR(VLOOKUP(C9, merchants!$A$2:$D$41, 3, FALSE), "Merchant not found")</f>
        <v>travel</v>
      </c>
      <c r="F9" t="str">
        <f>IFERROR(VLOOKUP(C9, merchants!$A$2:$D$41, 4, FALSE), "Merchant not found")</f>
        <v>East</v>
      </c>
      <c r="G9" s="1">
        <v>46049.301388888889</v>
      </c>
      <c r="H9">
        <v>99</v>
      </c>
      <c r="I9" t="s">
        <v>66</v>
      </c>
      <c r="J9" t="s">
        <v>64</v>
      </c>
      <c r="K9">
        <v>51</v>
      </c>
      <c r="L9">
        <f>IFERROR(HLOOKUP(TRIM(I9), FeeTable!$B$1:$H$2, 2, FALSE) * H9, 0)</f>
        <v>0</v>
      </c>
      <c r="M9" t="str">
        <f t="shared" si="0"/>
        <v>Standard</v>
      </c>
    </row>
    <row r="10" spans="1:13" x14ac:dyDescent="0.3">
      <c r="A10" t="s">
        <v>74</v>
      </c>
      <c r="B10">
        <v>36</v>
      </c>
      <c r="C10">
        <v>18</v>
      </c>
      <c r="D10" t="str">
        <f>IFERROR(VLOOKUP(C10, merchants!$A$2:$D$41, 2, FALSE), "Merchant not found")</f>
        <v>Merchant_018</v>
      </c>
      <c r="E10" t="str">
        <f>IFERROR(VLOOKUP(C10, merchants!$A$2:$D$41, 3, FALSE), "Merchant not found")</f>
        <v>grocery</v>
      </c>
      <c r="F10" t="str">
        <f>IFERROR(VLOOKUP(C10, merchants!$A$2:$D$41, 4, FALSE), "Merchant not found")</f>
        <v>West</v>
      </c>
      <c r="G10" s="1">
        <v>46033.371527777781</v>
      </c>
      <c r="H10">
        <v>799</v>
      </c>
      <c r="I10" t="s">
        <v>66</v>
      </c>
      <c r="J10" t="s">
        <v>64</v>
      </c>
      <c r="K10">
        <v>44</v>
      </c>
      <c r="L10">
        <f>IFERROR(HLOOKUP(TRIM(I10), FeeTable!$B$1:$H$2, 2, FALSE) * H10, 0)</f>
        <v>0</v>
      </c>
      <c r="M10" t="str">
        <f t="shared" si="0"/>
        <v>Standard</v>
      </c>
    </row>
    <row r="11" spans="1:13" x14ac:dyDescent="0.3">
      <c r="A11" t="s">
        <v>75</v>
      </c>
      <c r="B11">
        <v>348</v>
      </c>
      <c r="C11">
        <v>35</v>
      </c>
      <c r="D11" t="str">
        <f>IFERROR(VLOOKUP(C11, merchants!$A$2:$D$41, 2, FALSE), "Merchant not found")</f>
        <v>Merchant_035</v>
      </c>
      <c r="E11" t="str">
        <f>IFERROR(VLOOKUP(C11, merchants!$A$2:$D$41, 3, FALSE), "Merchant not found")</f>
        <v>recharge</v>
      </c>
      <c r="F11" t="str">
        <f>IFERROR(VLOOKUP(C11, merchants!$A$2:$D$41, 4, FALSE), "Merchant not found")</f>
        <v>East</v>
      </c>
      <c r="G11" s="1">
        <v>46043.684027777781</v>
      </c>
      <c r="H11">
        <v>299</v>
      </c>
      <c r="I11" t="s">
        <v>66</v>
      </c>
      <c r="J11" t="s">
        <v>64</v>
      </c>
      <c r="K11">
        <v>42</v>
      </c>
      <c r="L11">
        <f>IFERROR(HLOOKUP(TRIM(I11), FeeTable!$B$1:$H$2, 2, FALSE) * H11, 0)</f>
        <v>0</v>
      </c>
      <c r="M11" t="str">
        <f t="shared" si="0"/>
        <v>Standard</v>
      </c>
    </row>
    <row r="12" spans="1:13" x14ac:dyDescent="0.3">
      <c r="A12" t="s">
        <v>76</v>
      </c>
      <c r="B12">
        <v>134</v>
      </c>
      <c r="C12">
        <v>12</v>
      </c>
      <c r="D12" t="str">
        <f>IFERROR(VLOOKUP(C12, merchants!$A$2:$D$41, 2, FALSE), "Merchant not found")</f>
        <v>Merchant_012</v>
      </c>
      <c r="E12" t="str">
        <f>IFERROR(VLOOKUP(C12, merchants!$A$2:$D$41, 3, FALSE), "Merchant not found")</f>
        <v>ecommerce</v>
      </c>
      <c r="F12" t="str">
        <f>IFERROR(VLOOKUP(C12, merchants!$A$2:$D$41, 4, FALSE), "Merchant not found")</f>
        <v>East</v>
      </c>
      <c r="G12" s="1">
        <v>46023.163888888892</v>
      </c>
      <c r="H12">
        <v>49</v>
      </c>
      <c r="I12" t="s">
        <v>66</v>
      </c>
      <c r="J12" t="s">
        <v>64</v>
      </c>
      <c r="K12">
        <v>74</v>
      </c>
      <c r="L12">
        <f>IFERROR(HLOOKUP(TRIM(I12), FeeTable!$B$1:$H$2, 2, FALSE) * H12, 0)</f>
        <v>0</v>
      </c>
      <c r="M12" t="str">
        <f t="shared" si="0"/>
        <v>Standard</v>
      </c>
    </row>
    <row r="13" spans="1:13" x14ac:dyDescent="0.3">
      <c r="A13" t="s">
        <v>77</v>
      </c>
      <c r="B13">
        <v>306</v>
      </c>
      <c r="C13">
        <v>28</v>
      </c>
      <c r="D13" t="str">
        <f>IFERROR(VLOOKUP(C13, merchants!$A$2:$D$41, 2, FALSE), "Merchant not found")</f>
        <v>Merchant_028</v>
      </c>
      <c r="E13" t="str">
        <f>IFERROR(VLOOKUP(C13, merchants!$A$2:$D$41, 3, FALSE), "Merchant not found")</f>
        <v>ecommerce</v>
      </c>
      <c r="F13" t="str">
        <f>IFERROR(VLOOKUP(C13, merchants!$A$2:$D$41, 4, FALSE), "Merchant not found")</f>
        <v>South</v>
      </c>
      <c r="G13" s="1">
        <v>46031.04583333333</v>
      </c>
      <c r="H13">
        <v>2999</v>
      </c>
      <c r="I13" t="s">
        <v>78</v>
      </c>
      <c r="J13" t="s">
        <v>79</v>
      </c>
      <c r="K13">
        <v>44</v>
      </c>
      <c r="L13">
        <f>IFERROR(HLOOKUP(TRIM(I13), FeeTable!$B$1:$H$2, 2, FALSE) * H13, 0)</f>
        <v>53.981999999999999</v>
      </c>
      <c r="M13" t="str">
        <f t="shared" si="0"/>
        <v>Standard</v>
      </c>
    </row>
    <row r="14" spans="1:13" x14ac:dyDescent="0.3">
      <c r="A14" t="s">
        <v>80</v>
      </c>
      <c r="B14">
        <v>311</v>
      </c>
      <c r="C14">
        <v>33</v>
      </c>
      <c r="D14" t="str">
        <f>IFERROR(VLOOKUP(C14, merchants!$A$2:$D$41, 2, FALSE), "Merchant not found")</f>
        <v>Merchant_033</v>
      </c>
      <c r="E14" t="str">
        <f>IFERROR(VLOOKUP(C14, merchants!$A$2:$D$41, 3, FALSE), "Merchant not found")</f>
        <v>bill_payment</v>
      </c>
      <c r="F14" t="str">
        <f>IFERROR(VLOOKUP(C14, merchants!$A$2:$D$41, 4, FALSE), "Merchant not found")</f>
        <v>East</v>
      </c>
      <c r="G14" s="1">
        <v>46046.435416666667</v>
      </c>
      <c r="H14">
        <v>49</v>
      </c>
      <c r="I14" t="s">
        <v>63</v>
      </c>
      <c r="J14" t="s">
        <v>64</v>
      </c>
      <c r="K14">
        <v>14</v>
      </c>
      <c r="L14">
        <f>IFERROR(HLOOKUP(TRIM(I14), FeeTable!$B$1:$H$2, 2, FALSE) * H14, 0)</f>
        <v>0.53899999999999992</v>
      </c>
      <c r="M14" t="str">
        <f t="shared" si="0"/>
        <v>Standard</v>
      </c>
    </row>
    <row r="15" spans="1:13" x14ac:dyDescent="0.3">
      <c r="A15" t="s">
        <v>81</v>
      </c>
      <c r="B15">
        <v>131</v>
      </c>
      <c r="C15">
        <v>3</v>
      </c>
      <c r="D15" t="str">
        <f>IFERROR(VLOOKUP(C15, merchants!$A$2:$D$41, 2, FALSE), "Merchant not found")</f>
        <v>Merchant_003</v>
      </c>
      <c r="E15" t="str">
        <f>IFERROR(VLOOKUP(C15, merchants!$A$2:$D$41, 3, FALSE), "Merchant not found")</f>
        <v>grocery</v>
      </c>
      <c r="F15" t="str">
        <f>IFERROR(VLOOKUP(C15, merchants!$A$2:$D$41, 4, FALSE), "Merchant not found")</f>
        <v>East</v>
      </c>
      <c r="G15" s="1">
        <v>46035.758333333331</v>
      </c>
      <c r="H15">
        <v>49</v>
      </c>
      <c r="I15" t="s">
        <v>66</v>
      </c>
      <c r="J15" t="s">
        <v>64</v>
      </c>
      <c r="K15">
        <v>90</v>
      </c>
      <c r="L15">
        <f>IFERROR(HLOOKUP(TRIM(I15), FeeTable!$B$1:$H$2, 2, FALSE) * H15, 0)</f>
        <v>0</v>
      </c>
      <c r="M15" t="str">
        <f t="shared" si="0"/>
        <v>Standard</v>
      </c>
    </row>
    <row r="16" spans="1:13" x14ac:dyDescent="0.3">
      <c r="A16" t="s">
        <v>82</v>
      </c>
      <c r="B16">
        <v>276</v>
      </c>
      <c r="C16">
        <v>13</v>
      </c>
      <c r="D16" t="str">
        <f>IFERROR(VLOOKUP(C16, merchants!$A$2:$D$41, 2, FALSE), "Merchant not found")</f>
        <v>Merchant_013</v>
      </c>
      <c r="E16" t="str">
        <f>IFERROR(VLOOKUP(C16, merchants!$A$2:$D$41, 3, FALSE), "Merchant not found")</f>
        <v>travel</v>
      </c>
      <c r="F16" t="str">
        <f>IFERROR(VLOOKUP(C16, merchants!$A$2:$D$41, 4, FALSE), "Merchant not found")</f>
        <v>East</v>
      </c>
      <c r="G16" s="1">
        <v>46036.022916666669</v>
      </c>
      <c r="H16">
        <v>1499</v>
      </c>
      <c r="I16" t="s">
        <v>66</v>
      </c>
      <c r="J16" t="s">
        <v>64</v>
      </c>
      <c r="K16">
        <v>46</v>
      </c>
      <c r="L16">
        <f>IFERROR(HLOOKUP(TRIM(I16), FeeTable!$B$1:$H$2, 2, FALSE) * H16, 0)</f>
        <v>0</v>
      </c>
      <c r="M16" t="str">
        <f t="shared" si="0"/>
        <v>Standard</v>
      </c>
    </row>
    <row r="17" spans="1:13" x14ac:dyDescent="0.3">
      <c r="A17" t="s">
        <v>83</v>
      </c>
      <c r="B17">
        <v>170</v>
      </c>
      <c r="C17">
        <v>40</v>
      </c>
      <c r="D17" t="str">
        <f>IFERROR(VLOOKUP(C17, merchants!$A$2:$D$41, 2, FALSE), "Merchant not found")</f>
        <v>Merchant_040</v>
      </c>
      <c r="E17" t="str">
        <f>IFERROR(VLOOKUP(C17, merchants!$A$2:$D$41, 3, FALSE), "Merchant not found")</f>
        <v>entertainment</v>
      </c>
      <c r="F17" t="str">
        <f>IFERROR(VLOOKUP(C17, merchants!$A$2:$D$41, 4, FALSE), "Merchant not found")</f>
        <v>South</v>
      </c>
      <c r="G17" s="1">
        <v>46036.112500000003</v>
      </c>
      <c r="H17">
        <v>99</v>
      </c>
      <c r="I17" t="s">
        <v>66</v>
      </c>
      <c r="J17" t="s">
        <v>64</v>
      </c>
      <c r="K17">
        <v>40</v>
      </c>
      <c r="L17">
        <f>IFERROR(HLOOKUP(TRIM(I17), FeeTable!$B$1:$H$2, 2, FALSE) * H17, 0)</f>
        <v>0</v>
      </c>
      <c r="M17" t="str">
        <f t="shared" si="0"/>
        <v>Standard</v>
      </c>
    </row>
    <row r="18" spans="1:13" x14ac:dyDescent="0.3">
      <c r="A18" t="s">
        <v>84</v>
      </c>
      <c r="B18">
        <v>154</v>
      </c>
      <c r="C18">
        <v>33</v>
      </c>
      <c r="D18" t="str">
        <f>IFERROR(VLOOKUP(C18, merchants!$A$2:$D$41, 2, FALSE), "Merchant not found")</f>
        <v>Merchant_033</v>
      </c>
      <c r="E18" t="str">
        <f>IFERROR(VLOOKUP(C18, merchants!$A$2:$D$41, 3, FALSE), "Merchant not found")</f>
        <v>bill_payment</v>
      </c>
      <c r="F18" t="str">
        <f>IFERROR(VLOOKUP(C18, merchants!$A$2:$D$41, 4, FALSE), "Merchant not found")</f>
        <v>East</v>
      </c>
      <c r="G18" s="1">
        <v>46044.156944444447</v>
      </c>
      <c r="H18">
        <v>99</v>
      </c>
      <c r="I18" t="s">
        <v>69</v>
      </c>
      <c r="J18" t="s">
        <v>64</v>
      </c>
      <c r="K18">
        <v>39</v>
      </c>
      <c r="L18">
        <f>IFERROR(HLOOKUP(TRIM(I18), FeeTable!$B$1:$H$2, 2, FALSE) * H18, 0)</f>
        <v>1.4849999999999999</v>
      </c>
      <c r="M18" t="str">
        <f t="shared" si="0"/>
        <v>Standard</v>
      </c>
    </row>
    <row r="19" spans="1:13" x14ac:dyDescent="0.3">
      <c r="A19" t="s">
        <v>85</v>
      </c>
      <c r="B19">
        <v>207</v>
      </c>
      <c r="C19">
        <v>19</v>
      </c>
      <c r="D19" t="str">
        <f>IFERROR(VLOOKUP(C19, merchants!$A$2:$D$41, 2, FALSE), "Merchant not found")</f>
        <v>Merchant_019</v>
      </c>
      <c r="E19" t="str">
        <f>IFERROR(VLOOKUP(C19, merchants!$A$2:$D$41, 3, FALSE), "Merchant not found")</f>
        <v>grocery</v>
      </c>
      <c r="F19" t="str">
        <f>IFERROR(VLOOKUP(C19, merchants!$A$2:$D$41, 4, FALSE), "Merchant not found")</f>
        <v>North</v>
      </c>
      <c r="G19" s="1">
        <v>46044.555555555555</v>
      </c>
      <c r="H19">
        <v>2999</v>
      </c>
      <c r="I19" t="s">
        <v>78</v>
      </c>
      <c r="J19" t="s">
        <v>64</v>
      </c>
      <c r="K19">
        <v>70</v>
      </c>
      <c r="L19">
        <f>IFERROR(HLOOKUP(TRIM(I19), FeeTable!$B$1:$H$2, 2, FALSE) * H19, 0)</f>
        <v>53.981999999999999</v>
      </c>
      <c r="M19" t="str">
        <f t="shared" si="0"/>
        <v>Standard</v>
      </c>
    </row>
    <row r="20" spans="1:13" x14ac:dyDescent="0.3">
      <c r="A20" t="s">
        <v>86</v>
      </c>
      <c r="B20">
        <v>341</v>
      </c>
      <c r="C20">
        <v>25</v>
      </c>
      <c r="D20" t="str">
        <f>IFERROR(VLOOKUP(C20, merchants!$A$2:$D$41, 2, FALSE), "Merchant not found")</f>
        <v>Merchant_025</v>
      </c>
      <c r="E20" t="str">
        <f>IFERROR(VLOOKUP(C20, merchants!$A$2:$D$41, 3, FALSE), "Merchant not found")</f>
        <v>travel</v>
      </c>
      <c r="F20" t="str">
        <f>IFERROR(VLOOKUP(C20, merchants!$A$2:$D$41, 4, FALSE), "Merchant not found")</f>
        <v>South</v>
      </c>
      <c r="G20" s="1">
        <v>46027.268055555556</v>
      </c>
      <c r="H20">
        <v>2999</v>
      </c>
      <c r="I20" t="s">
        <v>66</v>
      </c>
      <c r="J20" t="s">
        <v>64</v>
      </c>
      <c r="K20">
        <v>86</v>
      </c>
      <c r="L20">
        <f>IFERROR(HLOOKUP(TRIM(I20), FeeTable!$B$1:$H$2, 2, FALSE) * H20, 0)</f>
        <v>0</v>
      </c>
      <c r="M20" t="str">
        <f t="shared" si="0"/>
        <v>Standard</v>
      </c>
    </row>
    <row r="21" spans="1:13" x14ac:dyDescent="0.3">
      <c r="A21" t="s">
        <v>87</v>
      </c>
      <c r="B21">
        <v>292</v>
      </c>
      <c r="C21">
        <v>20</v>
      </c>
      <c r="D21" t="str">
        <f>IFERROR(VLOOKUP(C21, merchants!$A$2:$D$41, 2, FALSE), "Merchant not found")</f>
        <v>Merchant_020</v>
      </c>
      <c r="E21" t="str">
        <f>IFERROR(VLOOKUP(C21, merchants!$A$2:$D$41, 3, FALSE), "Merchant not found")</f>
        <v>food_delivery</v>
      </c>
      <c r="F21" t="str">
        <f>IFERROR(VLOOKUP(C21, merchants!$A$2:$D$41, 4, FALSE), "Merchant not found")</f>
        <v>East</v>
      </c>
      <c r="G21" s="1">
        <v>46046.23541666667</v>
      </c>
      <c r="H21">
        <v>49</v>
      </c>
      <c r="I21" t="s">
        <v>66</v>
      </c>
      <c r="J21" t="s">
        <v>64</v>
      </c>
      <c r="K21">
        <v>51</v>
      </c>
      <c r="L21">
        <f>IFERROR(HLOOKUP(TRIM(I21), FeeTable!$B$1:$H$2, 2, FALSE) * H21, 0)</f>
        <v>0</v>
      </c>
      <c r="M21" t="str">
        <f t="shared" si="0"/>
        <v>Standard</v>
      </c>
    </row>
    <row r="22" spans="1:13" x14ac:dyDescent="0.3">
      <c r="A22" t="s">
        <v>88</v>
      </c>
      <c r="B22">
        <v>147</v>
      </c>
      <c r="C22">
        <v>14</v>
      </c>
      <c r="D22" t="str">
        <f>IFERROR(VLOOKUP(C22, merchants!$A$2:$D$41, 2, FALSE), "Merchant not found")</f>
        <v>Merchant_014</v>
      </c>
      <c r="E22" t="str">
        <f>IFERROR(VLOOKUP(C22, merchants!$A$2:$D$41, 3, FALSE), "Merchant not found")</f>
        <v>grocery</v>
      </c>
      <c r="F22" t="str">
        <f>IFERROR(VLOOKUP(C22, merchants!$A$2:$D$41, 4, FALSE), "Merchant not found")</f>
        <v>East</v>
      </c>
      <c r="G22" s="1">
        <v>46040.013194444444</v>
      </c>
      <c r="H22">
        <v>99</v>
      </c>
      <c r="I22" t="s">
        <v>78</v>
      </c>
      <c r="J22" t="s">
        <v>64</v>
      </c>
      <c r="K22">
        <v>55</v>
      </c>
      <c r="L22">
        <f>IFERROR(HLOOKUP(TRIM(I22), FeeTable!$B$1:$H$2, 2, FALSE) * H22, 0)</f>
        <v>1.7819999999999998</v>
      </c>
      <c r="M22" t="str">
        <f t="shared" si="0"/>
        <v>Standard</v>
      </c>
    </row>
    <row r="23" spans="1:13" x14ac:dyDescent="0.3">
      <c r="A23" t="s">
        <v>89</v>
      </c>
      <c r="B23">
        <v>336</v>
      </c>
      <c r="C23">
        <v>21</v>
      </c>
      <c r="D23" t="str">
        <f>IFERROR(VLOOKUP(C23, merchants!$A$2:$D$41, 2, FALSE), "Merchant not found")</f>
        <v>Merchant_021</v>
      </c>
      <c r="E23" t="str">
        <f>IFERROR(VLOOKUP(C23, merchants!$A$2:$D$41, 3, FALSE), "Merchant not found")</f>
        <v>food_delivery</v>
      </c>
      <c r="F23" t="str">
        <f>IFERROR(VLOOKUP(C23, merchants!$A$2:$D$41, 4, FALSE), "Merchant not found")</f>
        <v>East</v>
      </c>
      <c r="G23" s="1">
        <v>46048.776388888888</v>
      </c>
      <c r="H23">
        <v>99</v>
      </c>
      <c r="I23" t="s">
        <v>66</v>
      </c>
      <c r="J23" t="s">
        <v>64</v>
      </c>
      <c r="K23">
        <v>59</v>
      </c>
      <c r="L23">
        <f>IFERROR(HLOOKUP(TRIM(I23), FeeTable!$B$1:$H$2, 2, FALSE) * H23, 0)</f>
        <v>0</v>
      </c>
      <c r="M23" t="str">
        <f t="shared" si="0"/>
        <v>Standard</v>
      </c>
    </row>
    <row r="24" spans="1:13" x14ac:dyDescent="0.3">
      <c r="A24" t="s">
        <v>90</v>
      </c>
      <c r="B24">
        <v>110</v>
      </c>
      <c r="C24">
        <v>33</v>
      </c>
      <c r="D24" t="str">
        <f>IFERROR(VLOOKUP(C24, merchants!$A$2:$D$41, 2, FALSE), "Merchant not found")</f>
        <v>Merchant_033</v>
      </c>
      <c r="E24" t="str">
        <f>IFERROR(VLOOKUP(C24, merchants!$A$2:$D$41, 3, FALSE), "Merchant not found")</f>
        <v>bill_payment</v>
      </c>
      <c r="F24" t="str">
        <f>IFERROR(VLOOKUP(C24, merchants!$A$2:$D$41, 4, FALSE), "Merchant not found")</f>
        <v>East</v>
      </c>
      <c r="G24" s="1">
        <v>46037.613194444442</v>
      </c>
      <c r="H24">
        <v>799</v>
      </c>
      <c r="I24" t="s">
        <v>66</v>
      </c>
      <c r="J24" t="s">
        <v>64</v>
      </c>
      <c r="K24">
        <v>60</v>
      </c>
      <c r="L24">
        <f>IFERROR(HLOOKUP(TRIM(I24), FeeTable!$B$1:$H$2, 2, FALSE) * H24, 0)</f>
        <v>0</v>
      </c>
      <c r="M24" t="str">
        <f t="shared" si="0"/>
        <v>Standard</v>
      </c>
    </row>
    <row r="25" spans="1:13" x14ac:dyDescent="0.3">
      <c r="A25" t="s">
        <v>91</v>
      </c>
      <c r="B25">
        <v>338</v>
      </c>
      <c r="C25">
        <v>6</v>
      </c>
      <c r="D25" t="str">
        <f>IFERROR(VLOOKUP(C25, merchants!$A$2:$D$41, 2, FALSE), "Merchant not found")</f>
        <v>Merchant_006</v>
      </c>
      <c r="E25" t="str">
        <f>IFERROR(VLOOKUP(C25, merchants!$A$2:$D$41, 3, FALSE), "Merchant not found")</f>
        <v>food_delivery</v>
      </c>
      <c r="F25" t="str">
        <f>IFERROR(VLOOKUP(C25, merchants!$A$2:$D$41, 4, FALSE), "Merchant not found")</f>
        <v>South</v>
      </c>
      <c r="G25" s="1">
        <v>46048.965277777781</v>
      </c>
      <c r="H25">
        <v>799</v>
      </c>
      <c r="I25" t="s">
        <v>66</v>
      </c>
      <c r="J25" t="s">
        <v>92</v>
      </c>
      <c r="K25">
        <v>36</v>
      </c>
      <c r="L25">
        <f>IFERROR(HLOOKUP(TRIM(I25), FeeTable!$B$1:$H$2, 2, FALSE) * H25, 0)</f>
        <v>0</v>
      </c>
      <c r="M25" t="str">
        <f t="shared" si="0"/>
        <v>Standard</v>
      </c>
    </row>
    <row r="26" spans="1:13" x14ac:dyDescent="0.3">
      <c r="A26" t="s">
        <v>93</v>
      </c>
      <c r="B26">
        <v>318</v>
      </c>
      <c r="C26">
        <v>22</v>
      </c>
      <c r="D26" t="str">
        <f>IFERROR(VLOOKUP(C26, merchants!$A$2:$D$41, 2, FALSE), "Merchant not found")</f>
        <v>Merchant_022</v>
      </c>
      <c r="E26" t="str">
        <f>IFERROR(VLOOKUP(C26, merchants!$A$2:$D$41, 3, FALSE), "Merchant not found")</f>
        <v>travel</v>
      </c>
      <c r="F26" t="str">
        <f>IFERROR(VLOOKUP(C26, merchants!$A$2:$D$41, 4, FALSE), "Merchant not found")</f>
        <v>South</v>
      </c>
      <c r="G26" s="1">
        <v>46039.902777777781</v>
      </c>
      <c r="H26">
        <v>799</v>
      </c>
      <c r="I26" t="s">
        <v>63</v>
      </c>
      <c r="J26" t="s">
        <v>64</v>
      </c>
      <c r="K26">
        <v>11</v>
      </c>
      <c r="L26">
        <f>IFERROR(HLOOKUP(TRIM(I26), FeeTable!$B$1:$H$2, 2, FALSE) * H26, 0)</f>
        <v>8.7889999999999997</v>
      </c>
      <c r="M26" t="str">
        <f t="shared" si="0"/>
        <v>Standard</v>
      </c>
    </row>
    <row r="27" spans="1:13" x14ac:dyDescent="0.3">
      <c r="A27" t="s">
        <v>94</v>
      </c>
      <c r="B27">
        <v>159</v>
      </c>
      <c r="C27">
        <v>15</v>
      </c>
      <c r="D27" t="str">
        <f>IFERROR(VLOOKUP(C27, merchants!$A$2:$D$41, 2, FALSE), "Merchant not found")</f>
        <v>Merchant_015</v>
      </c>
      <c r="E27" t="str">
        <f>IFERROR(VLOOKUP(C27, merchants!$A$2:$D$41, 3, FALSE), "Merchant not found")</f>
        <v>travel</v>
      </c>
      <c r="F27" t="str">
        <f>IFERROR(VLOOKUP(C27, merchants!$A$2:$D$41, 4, FALSE), "Merchant not found")</f>
        <v>North</v>
      </c>
      <c r="G27" s="1">
        <v>46049.321527777778</v>
      </c>
      <c r="H27">
        <v>799</v>
      </c>
      <c r="I27" t="s">
        <v>66</v>
      </c>
      <c r="J27" t="s">
        <v>64</v>
      </c>
      <c r="K27">
        <v>25</v>
      </c>
      <c r="L27">
        <f>IFERROR(HLOOKUP(TRIM(I27), FeeTable!$B$1:$H$2, 2, FALSE) * H27, 0)</f>
        <v>0</v>
      </c>
      <c r="M27" t="str">
        <f t="shared" si="0"/>
        <v>Standard</v>
      </c>
    </row>
    <row r="28" spans="1:13" x14ac:dyDescent="0.3">
      <c r="A28" t="s">
        <v>95</v>
      </c>
      <c r="B28">
        <v>126</v>
      </c>
      <c r="C28">
        <v>31</v>
      </c>
      <c r="D28" t="str">
        <f>IFERROR(VLOOKUP(C28, merchants!$A$2:$D$41, 2, FALSE), "Merchant not found")</f>
        <v>Merchant_031</v>
      </c>
      <c r="E28" t="str">
        <f>IFERROR(VLOOKUP(C28, merchants!$A$2:$D$41, 3, FALSE), "Merchant not found")</f>
        <v>bill_payment</v>
      </c>
      <c r="F28" t="str">
        <f>IFERROR(VLOOKUP(C28, merchants!$A$2:$D$41, 4, FALSE), "Merchant not found")</f>
        <v>East</v>
      </c>
      <c r="G28" s="1">
        <v>46027.001388888886</v>
      </c>
      <c r="H28">
        <v>49</v>
      </c>
      <c r="I28" t="s">
        <v>78</v>
      </c>
      <c r="J28" t="s">
        <v>64</v>
      </c>
      <c r="K28">
        <v>78</v>
      </c>
      <c r="L28">
        <f>IFERROR(HLOOKUP(TRIM(I28), FeeTable!$B$1:$H$2, 2, FALSE) * H28, 0)</f>
        <v>0.8819999999999999</v>
      </c>
      <c r="M28" t="str">
        <f t="shared" si="0"/>
        <v>Standard</v>
      </c>
    </row>
    <row r="29" spans="1:13" x14ac:dyDescent="0.3">
      <c r="A29" t="s">
        <v>96</v>
      </c>
      <c r="B29">
        <v>213</v>
      </c>
      <c r="C29">
        <v>37</v>
      </c>
      <c r="D29" t="str">
        <f>IFERROR(VLOOKUP(C29, merchants!$A$2:$D$41, 2, FALSE), "Merchant not found")</f>
        <v>Merchant_037</v>
      </c>
      <c r="E29" t="str">
        <f>IFERROR(VLOOKUP(C29, merchants!$A$2:$D$41, 3, FALSE), "Merchant not found")</f>
        <v>entertainment</v>
      </c>
      <c r="F29" t="str">
        <f>IFERROR(VLOOKUP(C29, merchants!$A$2:$D$41, 4, FALSE), "Merchant not found")</f>
        <v>South</v>
      </c>
      <c r="G29" s="1">
        <v>46050.103472222225</v>
      </c>
      <c r="H29">
        <v>99</v>
      </c>
      <c r="I29" t="s">
        <v>66</v>
      </c>
      <c r="J29" t="s">
        <v>64</v>
      </c>
      <c r="K29">
        <v>24</v>
      </c>
      <c r="L29">
        <f>IFERROR(HLOOKUP(TRIM(I29), FeeTable!$B$1:$H$2, 2, FALSE) * H29, 0)</f>
        <v>0</v>
      </c>
      <c r="M29" t="str">
        <f t="shared" si="0"/>
        <v>Standard</v>
      </c>
    </row>
    <row r="30" spans="1:13" x14ac:dyDescent="0.3">
      <c r="A30" t="s">
        <v>97</v>
      </c>
      <c r="B30">
        <v>254</v>
      </c>
      <c r="C30">
        <v>26</v>
      </c>
      <c r="D30" t="str">
        <f>IFERROR(VLOOKUP(C30, merchants!$A$2:$D$41, 2, FALSE), "Merchant not found")</f>
        <v>Merchant_026</v>
      </c>
      <c r="E30" t="str">
        <f>IFERROR(VLOOKUP(C30, merchants!$A$2:$D$41, 3, FALSE), "Merchant not found")</f>
        <v>food_delivery</v>
      </c>
      <c r="F30" t="str">
        <f>IFERROR(VLOOKUP(C30, merchants!$A$2:$D$41, 4, FALSE), "Merchant not found")</f>
        <v>East</v>
      </c>
      <c r="G30" s="1">
        <v>46045.933333333334</v>
      </c>
      <c r="H30">
        <v>99</v>
      </c>
      <c r="I30" t="s">
        <v>63</v>
      </c>
      <c r="J30" t="s">
        <v>64</v>
      </c>
      <c r="K30">
        <v>31</v>
      </c>
      <c r="L30">
        <f>IFERROR(HLOOKUP(TRIM(I30), FeeTable!$B$1:$H$2, 2, FALSE) * H30, 0)</f>
        <v>1.089</v>
      </c>
      <c r="M30" t="str">
        <f t="shared" si="0"/>
        <v>Standard</v>
      </c>
    </row>
    <row r="31" spans="1:13" x14ac:dyDescent="0.3">
      <c r="A31" t="s">
        <v>98</v>
      </c>
      <c r="B31">
        <v>3</v>
      </c>
      <c r="C31">
        <v>7</v>
      </c>
      <c r="D31" t="str">
        <f>IFERROR(VLOOKUP(C31, merchants!$A$2:$D$41, 2, FALSE), "Merchant not found")</f>
        <v>Merchant_007</v>
      </c>
      <c r="E31" t="str">
        <f>IFERROR(VLOOKUP(C31, merchants!$A$2:$D$41, 3, FALSE), "Merchant not found")</f>
        <v>food_delivery</v>
      </c>
      <c r="F31" t="str">
        <f>IFERROR(VLOOKUP(C31, merchants!$A$2:$D$41, 4, FALSE), "Merchant not found")</f>
        <v>East</v>
      </c>
      <c r="G31" s="1">
        <v>46027.863888888889</v>
      </c>
      <c r="H31">
        <v>1499</v>
      </c>
      <c r="I31" t="s">
        <v>66</v>
      </c>
      <c r="J31" t="s">
        <v>64</v>
      </c>
      <c r="K31">
        <v>99</v>
      </c>
      <c r="L31">
        <f>IFERROR(HLOOKUP(TRIM(I31), FeeTable!$B$1:$H$2, 2, FALSE) * H31, 0)</f>
        <v>0</v>
      </c>
      <c r="M31" t="str">
        <f t="shared" si="0"/>
        <v>Standard</v>
      </c>
    </row>
    <row r="32" spans="1:13" x14ac:dyDescent="0.3">
      <c r="A32" t="s">
        <v>99</v>
      </c>
      <c r="B32">
        <v>266</v>
      </c>
      <c r="C32">
        <v>30</v>
      </c>
      <c r="D32" t="str">
        <f>IFERROR(VLOOKUP(C32, merchants!$A$2:$D$41, 2, FALSE), "Merchant not found")</f>
        <v>Merchant_030</v>
      </c>
      <c r="E32" t="str">
        <f>IFERROR(VLOOKUP(C32, merchants!$A$2:$D$41, 3, FALSE), "Merchant not found")</f>
        <v>travel</v>
      </c>
      <c r="F32" t="str">
        <f>IFERROR(VLOOKUP(C32, merchants!$A$2:$D$41, 4, FALSE), "Merchant not found")</f>
        <v>West</v>
      </c>
      <c r="G32" s="1">
        <v>46036.299305555556</v>
      </c>
      <c r="H32">
        <v>499</v>
      </c>
      <c r="I32" t="s">
        <v>78</v>
      </c>
      <c r="J32" t="s">
        <v>64</v>
      </c>
      <c r="K32">
        <v>6</v>
      </c>
      <c r="L32">
        <f>IFERROR(HLOOKUP(TRIM(I32), FeeTable!$B$1:$H$2, 2, FALSE) * H32, 0)</f>
        <v>8.9819999999999993</v>
      </c>
      <c r="M32" t="str">
        <f t="shared" si="0"/>
        <v>Standard</v>
      </c>
    </row>
    <row r="33" spans="1:13" x14ac:dyDescent="0.3">
      <c r="A33" t="s">
        <v>100</v>
      </c>
      <c r="B33">
        <v>63</v>
      </c>
      <c r="C33">
        <v>30</v>
      </c>
      <c r="D33" t="str">
        <f>IFERROR(VLOOKUP(C33, merchants!$A$2:$D$41, 2, FALSE), "Merchant not found")</f>
        <v>Merchant_030</v>
      </c>
      <c r="E33" t="str">
        <f>IFERROR(VLOOKUP(C33, merchants!$A$2:$D$41, 3, FALSE), "Merchant not found")</f>
        <v>travel</v>
      </c>
      <c r="F33" t="str">
        <f>IFERROR(VLOOKUP(C33, merchants!$A$2:$D$41, 4, FALSE), "Merchant not found")</f>
        <v>West</v>
      </c>
      <c r="G33" s="1">
        <v>46040.331944444442</v>
      </c>
      <c r="H33">
        <v>799</v>
      </c>
      <c r="I33" t="s">
        <v>66</v>
      </c>
      <c r="J33" t="s">
        <v>64</v>
      </c>
      <c r="K33">
        <v>17</v>
      </c>
      <c r="L33">
        <f>IFERROR(HLOOKUP(TRIM(I33), FeeTable!$B$1:$H$2, 2, FALSE) * H33, 0)</f>
        <v>0</v>
      </c>
      <c r="M33" t="str">
        <f t="shared" si="0"/>
        <v>Standard</v>
      </c>
    </row>
    <row r="34" spans="1:13" x14ac:dyDescent="0.3">
      <c r="A34" t="s">
        <v>101</v>
      </c>
      <c r="B34">
        <v>272</v>
      </c>
      <c r="C34">
        <v>36</v>
      </c>
      <c r="D34" t="str">
        <f>IFERROR(VLOOKUP(C34, merchants!$A$2:$D$41, 2, FALSE), "Merchant not found")</f>
        <v>Merchant_036</v>
      </c>
      <c r="E34" t="str">
        <f>IFERROR(VLOOKUP(C34, merchants!$A$2:$D$41, 3, FALSE), "Merchant not found")</f>
        <v>entertainment</v>
      </c>
      <c r="F34" t="str">
        <f>IFERROR(VLOOKUP(C34, merchants!$A$2:$D$41, 4, FALSE), "Merchant not found")</f>
        <v>East</v>
      </c>
      <c r="G34" s="1">
        <v>46048.612500000003</v>
      </c>
      <c r="H34">
        <v>149</v>
      </c>
      <c r="I34" t="s">
        <v>66</v>
      </c>
      <c r="J34" t="s">
        <v>64</v>
      </c>
      <c r="K34">
        <v>76</v>
      </c>
      <c r="L34">
        <f>IFERROR(HLOOKUP(TRIM(I34), FeeTable!$B$1:$H$2, 2, FALSE) * H34, 0)</f>
        <v>0</v>
      </c>
      <c r="M34" t="str">
        <f t="shared" si="0"/>
        <v>Standard</v>
      </c>
    </row>
    <row r="35" spans="1:13" x14ac:dyDescent="0.3">
      <c r="A35" t="s">
        <v>102</v>
      </c>
      <c r="B35">
        <v>259</v>
      </c>
      <c r="C35">
        <v>28</v>
      </c>
      <c r="D35" t="str">
        <f>IFERROR(VLOOKUP(C35, merchants!$A$2:$D$41, 2, FALSE), "Merchant not found")</f>
        <v>Merchant_028</v>
      </c>
      <c r="E35" t="str">
        <f>IFERROR(VLOOKUP(C35, merchants!$A$2:$D$41, 3, FALSE), "Merchant not found")</f>
        <v>ecommerce</v>
      </c>
      <c r="F35" t="str">
        <f>IFERROR(VLOOKUP(C35, merchants!$A$2:$D$41, 4, FALSE), "Merchant not found")</f>
        <v>South</v>
      </c>
      <c r="G35" s="1">
        <v>46033.61041666667</v>
      </c>
      <c r="H35">
        <v>49</v>
      </c>
      <c r="I35" t="s">
        <v>63</v>
      </c>
      <c r="J35" t="s">
        <v>64</v>
      </c>
      <c r="K35">
        <v>70</v>
      </c>
      <c r="L35">
        <f>IFERROR(HLOOKUP(TRIM(I35), FeeTable!$B$1:$H$2, 2, FALSE) * H35, 0)</f>
        <v>0.53899999999999992</v>
      </c>
      <c r="M35" t="str">
        <f t="shared" si="0"/>
        <v>Standard</v>
      </c>
    </row>
    <row r="36" spans="1:13" x14ac:dyDescent="0.3">
      <c r="A36" t="s">
        <v>103</v>
      </c>
      <c r="B36">
        <v>244</v>
      </c>
      <c r="C36">
        <v>29</v>
      </c>
      <c r="D36" t="str">
        <f>IFERROR(VLOOKUP(C36, merchants!$A$2:$D$41, 2, FALSE), "Merchant not found")</f>
        <v>Merchant_029</v>
      </c>
      <c r="E36" t="str">
        <f>IFERROR(VLOOKUP(C36, merchants!$A$2:$D$41, 3, FALSE), "Merchant not found")</f>
        <v>ecommerce</v>
      </c>
      <c r="F36" t="str">
        <f>IFERROR(VLOOKUP(C36, merchants!$A$2:$D$41, 4, FALSE), "Merchant not found")</f>
        <v>North</v>
      </c>
      <c r="G36" s="1">
        <v>46037.240972222222</v>
      </c>
      <c r="H36">
        <v>299</v>
      </c>
      <c r="I36" t="s">
        <v>69</v>
      </c>
      <c r="J36" t="s">
        <v>64</v>
      </c>
      <c r="K36">
        <v>33</v>
      </c>
      <c r="L36">
        <f>IFERROR(HLOOKUP(TRIM(I36), FeeTable!$B$1:$H$2, 2, FALSE) * H36, 0)</f>
        <v>4.4849999999999994</v>
      </c>
      <c r="M36" t="str">
        <f t="shared" si="0"/>
        <v>Standard</v>
      </c>
    </row>
    <row r="37" spans="1:13" x14ac:dyDescent="0.3">
      <c r="A37" t="s">
        <v>104</v>
      </c>
      <c r="B37">
        <v>327</v>
      </c>
      <c r="C37">
        <v>18</v>
      </c>
      <c r="D37" t="str">
        <f>IFERROR(VLOOKUP(C37, merchants!$A$2:$D$41, 2, FALSE), "Merchant not found")</f>
        <v>Merchant_018</v>
      </c>
      <c r="E37" t="str">
        <f>IFERROR(VLOOKUP(C37, merchants!$A$2:$D$41, 3, FALSE), "Merchant not found")</f>
        <v>grocery</v>
      </c>
      <c r="F37" t="str">
        <f>IFERROR(VLOOKUP(C37, merchants!$A$2:$D$41, 4, FALSE), "Merchant not found")</f>
        <v>West</v>
      </c>
      <c r="G37" s="1">
        <v>46047.328472222223</v>
      </c>
      <c r="H37">
        <v>149</v>
      </c>
      <c r="I37" t="s">
        <v>78</v>
      </c>
      <c r="J37" t="s">
        <v>64</v>
      </c>
      <c r="K37">
        <v>98</v>
      </c>
      <c r="L37">
        <f>IFERROR(HLOOKUP(TRIM(I37), FeeTable!$B$1:$H$2, 2, FALSE) * H37, 0)</f>
        <v>2.6819999999999999</v>
      </c>
      <c r="M37" t="str">
        <f t="shared" si="0"/>
        <v>Standard</v>
      </c>
    </row>
    <row r="38" spans="1:13" x14ac:dyDescent="0.3">
      <c r="A38" t="s">
        <v>105</v>
      </c>
      <c r="B38">
        <v>321</v>
      </c>
      <c r="C38">
        <v>16</v>
      </c>
      <c r="D38" t="str">
        <f>IFERROR(VLOOKUP(C38, merchants!$A$2:$D$41, 2, FALSE), "Merchant not found")</f>
        <v>Merchant_016</v>
      </c>
      <c r="E38" t="str">
        <f>IFERROR(VLOOKUP(C38, merchants!$A$2:$D$41, 3, FALSE), "Merchant not found")</f>
        <v>bill_payment</v>
      </c>
      <c r="F38" t="str">
        <f>IFERROR(VLOOKUP(C38, merchants!$A$2:$D$41, 4, FALSE), "Merchant not found")</f>
        <v>West</v>
      </c>
      <c r="G38" s="1">
        <v>46047.688194444447</v>
      </c>
      <c r="H38">
        <v>49</v>
      </c>
      <c r="I38" t="s">
        <v>66</v>
      </c>
      <c r="J38" t="s">
        <v>64</v>
      </c>
      <c r="K38">
        <v>35</v>
      </c>
      <c r="L38">
        <f>IFERROR(HLOOKUP(TRIM(I38), FeeTable!$B$1:$H$2, 2, FALSE) * H38, 0)</f>
        <v>0</v>
      </c>
      <c r="M38" t="str">
        <f t="shared" si="0"/>
        <v>Standard</v>
      </c>
    </row>
    <row r="39" spans="1:13" x14ac:dyDescent="0.3">
      <c r="A39" t="s">
        <v>106</v>
      </c>
      <c r="B39">
        <v>147</v>
      </c>
      <c r="C39">
        <v>16</v>
      </c>
      <c r="D39" t="str">
        <f>IFERROR(VLOOKUP(C39, merchants!$A$2:$D$41, 2, FALSE), "Merchant not found")</f>
        <v>Merchant_016</v>
      </c>
      <c r="E39" t="str">
        <f>IFERROR(VLOOKUP(C39, merchants!$A$2:$D$41, 3, FALSE), "Merchant not found")</f>
        <v>bill_payment</v>
      </c>
      <c r="F39" t="str">
        <f>IFERROR(VLOOKUP(C39, merchants!$A$2:$D$41, 4, FALSE), "Merchant not found")</f>
        <v>West</v>
      </c>
      <c r="G39" s="1">
        <v>46037.114583333336</v>
      </c>
      <c r="H39">
        <v>2999</v>
      </c>
      <c r="I39" t="s">
        <v>78</v>
      </c>
      <c r="J39" t="s">
        <v>64</v>
      </c>
      <c r="K39">
        <v>34</v>
      </c>
      <c r="L39">
        <f>IFERROR(HLOOKUP(TRIM(I39), FeeTable!$B$1:$H$2, 2, FALSE) * H39, 0)</f>
        <v>53.981999999999999</v>
      </c>
      <c r="M39" t="str">
        <f t="shared" si="0"/>
        <v>Standard</v>
      </c>
    </row>
    <row r="40" spans="1:13" x14ac:dyDescent="0.3">
      <c r="A40" t="s">
        <v>107</v>
      </c>
      <c r="B40">
        <v>277</v>
      </c>
      <c r="C40">
        <v>6</v>
      </c>
      <c r="D40" t="str">
        <f>IFERROR(VLOOKUP(C40, merchants!$A$2:$D$41, 2, FALSE), "Merchant not found")</f>
        <v>Merchant_006</v>
      </c>
      <c r="E40" t="str">
        <f>IFERROR(VLOOKUP(C40, merchants!$A$2:$D$41, 3, FALSE), "Merchant not found")</f>
        <v>food_delivery</v>
      </c>
      <c r="F40" t="str">
        <f>IFERROR(VLOOKUP(C40, merchants!$A$2:$D$41, 4, FALSE), "Merchant not found")</f>
        <v>South</v>
      </c>
      <c r="G40" s="1">
        <v>46033.456250000003</v>
      </c>
      <c r="H40">
        <v>1499</v>
      </c>
      <c r="I40" t="s">
        <v>78</v>
      </c>
      <c r="J40" t="s">
        <v>64</v>
      </c>
      <c r="K40">
        <v>17</v>
      </c>
      <c r="L40">
        <f>IFERROR(HLOOKUP(TRIM(I40), FeeTable!$B$1:$H$2, 2, FALSE) * H40, 0)</f>
        <v>26.981999999999999</v>
      </c>
      <c r="M40" t="str">
        <f t="shared" si="0"/>
        <v>Standard</v>
      </c>
    </row>
    <row r="41" spans="1:13" x14ac:dyDescent="0.3">
      <c r="A41" t="s">
        <v>108</v>
      </c>
      <c r="B41">
        <v>79</v>
      </c>
      <c r="C41">
        <v>14</v>
      </c>
      <c r="D41" t="str">
        <f>IFERROR(VLOOKUP(C41, merchants!$A$2:$D$41, 2, FALSE), "Merchant not found")</f>
        <v>Merchant_014</v>
      </c>
      <c r="E41" t="str">
        <f>IFERROR(VLOOKUP(C41, merchants!$A$2:$D$41, 3, FALSE), "Merchant not found")</f>
        <v>grocery</v>
      </c>
      <c r="F41" t="str">
        <f>IFERROR(VLOOKUP(C41, merchants!$A$2:$D$41, 4, FALSE), "Merchant not found")</f>
        <v>East</v>
      </c>
      <c r="G41" s="1">
        <v>46027.308333333334</v>
      </c>
      <c r="H41">
        <v>1499</v>
      </c>
      <c r="I41" t="s">
        <v>66</v>
      </c>
      <c r="J41" t="s">
        <v>64</v>
      </c>
      <c r="K41">
        <v>8</v>
      </c>
      <c r="L41">
        <f>IFERROR(HLOOKUP(TRIM(I41), FeeTable!$B$1:$H$2, 2, FALSE) * H41, 0)</f>
        <v>0</v>
      </c>
      <c r="M41" t="str">
        <f t="shared" si="0"/>
        <v>Standard</v>
      </c>
    </row>
    <row r="42" spans="1:13" x14ac:dyDescent="0.3">
      <c r="A42" t="s">
        <v>109</v>
      </c>
      <c r="B42">
        <v>278</v>
      </c>
      <c r="C42">
        <v>30</v>
      </c>
      <c r="D42" t="str">
        <f>IFERROR(VLOOKUP(C42, merchants!$A$2:$D$41, 2, FALSE), "Merchant not found")</f>
        <v>Merchant_030</v>
      </c>
      <c r="E42" t="str">
        <f>IFERROR(VLOOKUP(C42, merchants!$A$2:$D$41, 3, FALSE), "Merchant not found")</f>
        <v>travel</v>
      </c>
      <c r="F42" t="str">
        <f>IFERROR(VLOOKUP(C42, merchants!$A$2:$D$41, 4, FALSE), "Merchant not found")</f>
        <v>West</v>
      </c>
      <c r="G42" s="1">
        <v>46036.556250000001</v>
      </c>
      <c r="H42">
        <v>1499</v>
      </c>
      <c r="I42" t="s">
        <v>66</v>
      </c>
      <c r="J42" t="s">
        <v>64</v>
      </c>
      <c r="K42">
        <v>53</v>
      </c>
      <c r="L42">
        <f>IFERROR(HLOOKUP(TRIM(I42), FeeTable!$B$1:$H$2, 2, FALSE) * H42, 0)</f>
        <v>0</v>
      </c>
      <c r="M42" t="str">
        <f t="shared" si="0"/>
        <v>Standard</v>
      </c>
    </row>
    <row r="43" spans="1:13" x14ac:dyDescent="0.3">
      <c r="A43" t="s">
        <v>110</v>
      </c>
      <c r="B43">
        <v>216</v>
      </c>
      <c r="C43">
        <v>25</v>
      </c>
      <c r="D43" t="str">
        <f>IFERROR(VLOOKUP(C43, merchants!$A$2:$D$41, 2, FALSE), "Merchant not found")</f>
        <v>Merchant_025</v>
      </c>
      <c r="E43" t="str">
        <f>IFERROR(VLOOKUP(C43, merchants!$A$2:$D$41, 3, FALSE), "Merchant not found")</f>
        <v>travel</v>
      </c>
      <c r="F43" t="str">
        <f>IFERROR(VLOOKUP(C43, merchants!$A$2:$D$41, 4, FALSE), "Merchant not found")</f>
        <v>South</v>
      </c>
      <c r="G43" s="1">
        <v>46024.286805555559</v>
      </c>
      <c r="H43">
        <v>99</v>
      </c>
      <c r="I43" t="s">
        <v>66</v>
      </c>
      <c r="J43" t="s">
        <v>64</v>
      </c>
      <c r="K43">
        <v>98</v>
      </c>
      <c r="L43">
        <f>IFERROR(HLOOKUP(TRIM(I43), FeeTable!$B$1:$H$2, 2, FALSE) * H43, 0)</f>
        <v>0</v>
      </c>
      <c r="M43" t="str">
        <f t="shared" si="0"/>
        <v>Standard</v>
      </c>
    </row>
    <row r="44" spans="1:13" x14ac:dyDescent="0.3">
      <c r="A44" t="s">
        <v>111</v>
      </c>
      <c r="B44">
        <v>295</v>
      </c>
      <c r="C44">
        <v>25</v>
      </c>
      <c r="D44" t="str">
        <f>IFERROR(VLOOKUP(C44, merchants!$A$2:$D$41, 2, FALSE), "Merchant not found")</f>
        <v>Merchant_025</v>
      </c>
      <c r="E44" t="str">
        <f>IFERROR(VLOOKUP(C44, merchants!$A$2:$D$41, 3, FALSE), "Merchant not found")</f>
        <v>travel</v>
      </c>
      <c r="F44" t="str">
        <f>IFERROR(VLOOKUP(C44, merchants!$A$2:$D$41, 4, FALSE), "Merchant not found")</f>
        <v>South</v>
      </c>
      <c r="G44" s="1">
        <v>46041.917361111111</v>
      </c>
      <c r="H44">
        <v>1499</v>
      </c>
      <c r="I44" t="s">
        <v>66</v>
      </c>
      <c r="J44" t="s">
        <v>64</v>
      </c>
      <c r="K44">
        <v>61</v>
      </c>
      <c r="L44">
        <f>IFERROR(HLOOKUP(TRIM(I44), FeeTable!$B$1:$H$2, 2, FALSE) * H44, 0)</f>
        <v>0</v>
      </c>
      <c r="M44" t="str">
        <f t="shared" si="0"/>
        <v>Standard</v>
      </c>
    </row>
    <row r="45" spans="1:13" x14ac:dyDescent="0.3">
      <c r="A45" t="s">
        <v>112</v>
      </c>
      <c r="B45">
        <v>200</v>
      </c>
      <c r="C45">
        <v>27</v>
      </c>
      <c r="D45" t="str">
        <f>IFERROR(VLOOKUP(C45, merchants!$A$2:$D$41, 2, FALSE), "Merchant not found")</f>
        <v>Merchant_027</v>
      </c>
      <c r="E45" t="str">
        <f>IFERROR(VLOOKUP(C45, merchants!$A$2:$D$41, 3, FALSE), "Merchant not found")</f>
        <v>ecommerce</v>
      </c>
      <c r="F45" t="str">
        <f>IFERROR(VLOOKUP(C45, merchants!$A$2:$D$41, 4, FALSE), "Merchant not found")</f>
        <v>North</v>
      </c>
      <c r="G45" s="1">
        <v>46023.47152777778</v>
      </c>
      <c r="H45">
        <v>149</v>
      </c>
      <c r="I45" t="s">
        <v>66</v>
      </c>
      <c r="J45" t="s">
        <v>64</v>
      </c>
      <c r="K45">
        <v>68</v>
      </c>
      <c r="L45">
        <f>IFERROR(HLOOKUP(TRIM(I45), FeeTable!$B$1:$H$2, 2, FALSE) * H45, 0)</f>
        <v>0</v>
      </c>
      <c r="M45" t="str">
        <f t="shared" si="0"/>
        <v>Standard</v>
      </c>
    </row>
    <row r="46" spans="1:13" x14ac:dyDescent="0.3">
      <c r="A46" t="s">
        <v>113</v>
      </c>
      <c r="B46">
        <v>309</v>
      </c>
      <c r="C46">
        <v>15</v>
      </c>
      <c r="D46" t="str">
        <f>IFERROR(VLOOKUP(C46, merchants!$A$2:$D$41, 2, FALSE), "Merchant not found")</f>
        <v>Merchant_015</v>
      </c>
      <c r="E46" t="str">
        <f>IFERROR(VLOOKUP(C46, merchants!$A$2:$D$41, 3, FALSE), "Merchant not found")</f>
        <v>travel</v>
      </c>
      <c r="F46" t="str">
        <f>IFERROR(VLOOKUP(C46, merchants!$A$2:$D$41, 4, FALSE), "Merchant not found")</f>
        <v>North</v>
      </c>
      <c r="G46" s="1">
        <v>46046.981944444444</v>
      </c>
      <c r="H46">
        <v>99</v>
      </c>
      <c r="I46" t="s">
        <v>69</v>
      </c>
      <c r="J46" t="s">
        <v>64</v>
      </c>
      <c r="K46">
        <v>62</v>
      </c>
      <c r="L46">
        <f>IFERROR(HLOOKUP(TRIM(I46), FeeTable!$B$1:$H$2, 2, FALSE) * H46, 0)</f>
        <v>1.4849999999999999</v>
      </c>
      <c r="M46" t="str">
        <f t="shared" si="0"/>
        <v>Standard</v>
      </c>
    </row>
    <row r="47" spans="1:13" x14ac:dyDescent="0.3">
      <c r="A47" t="s">
        <v>114</v>
      </c>
      <c r="B47">
        <v>249</v>
      </c>
      <c r="C47">
        <v>2</v>
      </c>
      <c r="D47" t="str">
        <f>IFERROR(VLOOKUP(C47, merchants!$A$2:$D$41, 2, FALSE), "Merchant not found")</f>
        <v>Merchant_002</v>
      </c>
      <c r="E47" t="str">
        <f>IFERROR(VLOOKUP(C47, merchants!$A$2:$D$41, 3, FALSE), "Merchant not found")</f>
        <v>grocery</v>
      </c>
      <c r="F47" t="str">
        <f>IFERROR(VLOOKUP(C47, merchants!$A$2:$D$41, 4, FALSE), "Merchant not found")</f>
        <v>West</v>
      </c>
      <c r="G47" s="1">
        <v>46030.352083333331</v>
      </c>
      <c r="H47">
        <v>299</v>
      </c>
      <c r="I47" t="s">
        <v>63</v>
      </c>
      <c r="J47" t="s">
        <v>64</v>
      </c>
      <c r="K47">
        <v>49</v>
      </c>
      <c r="L47">
        <f>IFERROR(HLOOKUP(TRIM(I47), FeeTable!$B$1:$H$2, 2, FALSE) * H47, 0)</f>
        <v>3.2889999999999997</v>
      </c>
      <c r="M47" t="str">
        <f t="shared" si="0"/>
        <v>Standard</v>
      </c>
    </row>
    <row r="48" spans="1:13" x14ac:dyDescent="0.3">
      <c r="A48" t="s">
        <v>115</v>
      </c>
      <c r="B48">
        <v>208</v>
      </c>
      <c r="C48">
        <v>11</v>
      </c>
      <c r="D48" t="str">
        <f>IFERROR(VLOOKUP(C48, merchants!$A$2:$D$41, 2, FALSE), "Merchant not found")</f>
        <v>Merchant_011</v>
      </c>
      <c r="E48" t="str">
        <f>IFERROR(VLOOKUP(C48, merchants!$A$2:$D$41, 3, FALSE), "Merchant not found")</f>
        <v>ecommerce</v>
      </c>
      <c r="F48" t="str">
        <f>IFERROR(VLOOKUP(C48, merchants!$A$2:$D$41, 4, FALSE), "Merchant not found")</f>
        <v>North</v>
      </c>
      <c r="G48" s="1">
        <v>46033.904861111114</v>
      </c>
      <c r="H48">
        <v>4999</v>
      </c>
      <c r="I48" t="s">
        <v>69</v>
      </c>
      <c r="J48" t="s">
        <v>64</v>
      </c>
      <c r="K48">
        <v>59</v>
      </c>
      <c r="L48">
        <f>IFERROR(HLOOKUP(TRIM(I48), FeeTable!$B$1:$H$2, 2, FALSE) * H48, 0)</f>
        <v>74.984999999999999</v>
      </c>
      <c r="M48" t="str">
        <f t="shared" si="0"/>
        <v>Standard</v>
      </c>
    </row>
    <row r="49" spans="1:13" x14ac:dyDescent="0.3">
      <c r="A49" t="s">
        <v>116</v>
      </c>
      <c r="B49">
        <v>274</v>
      </c>
      <c r="C49">
        <v>2</v>
      </c>
      <c r="D49" t="str">
        <f>IFERROR(VLOOKUP(C49, merchants!$A$2:$D$41, 2, FALSE), "Merchant not found")</f>
        <v>Merchant_002</v>
      </c>
      <c r="E49" t="str">
        <f>IFERROR(VLOOKUP(C49, merchants!$A$2:$D$41, 3, FALSE), "Merchant not found")</f>
        <v>grocery</v>
      </c>
      <c r="F49" t="str">
        <f>IFERROR(VLOOKUP(C49, merchants!$A$2:$D$41, 4, FALSE), "Merchant not found")</f>
        <v>West</v>
      </c>
      <c r="G49" s="1">
        <v>46052.193749999999</v>
      </c>
      <c r="H49">
        <v>299</v>
      </c>
      <c r="I49" t="s">
        <v>66</v>
      </c>
      <c r="J49" t="s">
        <v>64</v>
      </c>
      <c r="K49">
        <v>50</v>
      </c>
      <c r="L49">
        <f>IFERROR(HLOOKUP(TRIM(I49), FeeTable!$B$1:$H$2, 2, FALSE) * H49, 0)</f>
        <v>0</v>
      </c>
      <c r="M49" t="str">
        <f t="shared" si="0"/>
        <v>Standard</v>
      </c>
    </row>
    <row r="50" spans="1:13" x14ac:dyDescent="0.3">
      <c r="A50" t="s">
        <v>117</v>
      </c>
      <c r="B50">
        <v>14</v>
      </c>
      <c r="C50">
        <v>6</v>
      </c>
      <c r="D50" t="str">
        <f>IFERROR(VLOOKUP(C50, merchants!$A$2:$D$41, 2, FALSE), "Merchant not found")</f>
        <v>Merchant_006</v>
      </c>
      <c r="E50" t="str">
        <f>IFERROR(VLOOKUP(C50, merchants!$A$2:$D$41, 3, FALSE), "Merchant not found")</f>
        <v>food_delivery</v>
      </c>
      <c r="F50" t="str">
        <f>IFERROR(VLOOKUP(C50, merchants!$A$2:$D$41, 4, FALSE), "Merchant not found")</f>
        <v>South</v>
      </c>
      <c r="G50" s="1">
        <v>46041.779166666667</v>
      </c>
      <c r="H50">
        <v>49</v>
      </c>
      <c r="I50" t="s">
        <v>63</v>
      </c>
      <c r="J50" t="s">
        <v>64</v>
      </c>
      <c r="K50">
        <v>82</v>
      </c>
      <c r="L50">
        <f>IFERROR(HLOOKUP(TRIM(I50), FeeTable!$B$1:$H$2, 2, FALSE) * H50, 0)</f>
        <v>0.53899999999999992</v>
      </c>
      <c r="M50" t="str">
        <f t="shared" si="0"/>
        <v>Standard</v>
      </c>
    </row>
    <row r="51" spans="1:13" x14ac:dyDescent="0.3">
      <c r="A51" t="s">
        <v>118</v>
      </c>
      <c r="B51">
        <v>237</v>
      </c>
      <c r="C51">
        <v>12</v>
      </c>
      <c r="D51" t="str">
        <f>IFERROR(VLOOKUP(C51, merchants!$A$2:$D$41, 2, FALSE), "Merchant not found")</f>
        <v>Merchant_012</v>
      </c>
      <c r="E51" t="str">
        <f>IFERROR(VLOOKUP(C51, merchants!$A$2:$D$41, 3, FALSE), "Merchant not found")</f>
        <v>ecommerce</v>
      </c>
      <c r="F51" t="str">
        <f>IFERROR(VLOOKUP(C51, merchants!$A$2:$D$41, 4, FALSE), "Merchant not found")</f>
        <v>East</v>
      </c>
      <c r="G51" s="1">
        <v>46036.204861111109</v>
      </c>
      <c r="H51">
        <v>49</v>
      </c>
      <c r="I51" t="s">
        <v>66</v>
      </c>
      <c r="J51" t="s">
        <v>64</v>
      </c>
      <c r="K51">
        <v>6</v>
      </c>
      <c r="L51">
        <f>IFERROR(HLOOKUP(TRIM(I51), FeeTable!$B$1:$H$2, 2, FALSE) * H51, 0)</f>
        <v>0</v>
      </c>
      <c r="M51" t="str">
        <f t="shared" si="0"/>
        <v>Standard</v>
      </c>
    </row>
    <row r="52" spans="1:13" x14ac:dyDescent="0.3">
      <c r="A52" t="s">
        <v>119</v>
      </c>
      <c r="B52">
        <v>109</v>
      </c>
      <c r="C52">
        <v>30</v>
      </c>
      <c r="D52" t="str">
        <f>IFERROR(VLOOKUP(C52, merchants!$A$2:$D$41, 2, FALSE), "Merchant not found")</f>
        <v>Merchant_030</v>
      </c>
      <c r="E52" t="str">
        <f>IFERROR(VLOOKUP(C52, merchants!$A$2:$D$41, 3, FALSE), "Merchant not found")</f>
        <v>travel</v>
      </c>
      <c r="F52" t="str">
        <f>IFERROR(VLOOKUP(C52, merchants!$A$2:$D$41, 4, FALSE), "Merchant not found")</f>
        <v>West</v>
      </c>
      <c r="G52" s="1">
        <v>46031.513888888891</v>
      </c>
      <c r="H52">
        <v>99</v>
      </c>
      <c r="I52" t="s">
        <v>66</v>
      </c>
      <c r="J52" t="s">
        <v>64</v>
      </c>
      <c r="K52">
        <v>41</v>
      </c>
      <c r="L52">
        <f>IFERROR(HLOOKUP(TRIM(I52), FeeTable!$B$1:$H$2, 2, FALSE) * H52, 0)</f>
        <v>0</v>
      </c>
      <c r="M52" t="str">
        <f t="shared" si="0"/>
        <v>Standard</v>
      </c>
    </row>
    <row r="53" spans="1:13" x14ac:dyDescent="0.3">
      <c r="A53" t="s">
        <v>120</v>
      </c>
      <c r="B53">
        <v>216</v>
      </c>
      <c r="C53">
        <v>17</v>
      </c>
      <c r="D53" t="str">
        <f>IFERROR(VLOOKUP(C53, merchants!$A$2:$D$41, 2, FALSE), "Merchant not found")</f>
        <v>Merchant_017</v>
      </c>
      <c r="E53" t="str">
        <f>IFERROR(VLOOKUP(C53, merchants!$A$2:$D$41, 3, FALSE), "Merchant not found")</f>
        <v>grocery</v>
      </c>
      <c r="F53" t="str">
        <f>IFERROR(VLOOKUP(C53, merchants!$A$2:$D$41, 4, FALSE), "Merchant not found")</f>
        <v>North</v>
      </c>
      <c r="G53" s="1">
        <v>46033.511805555558</v>
      </c>
      <c r="H53">
        <v>4999</v>
      </c>
      <c r="I53" t="s">
        <v>66</v>
      </c>
      <c r="J53" t="s">
        <v>64</v>
      </c>
      <c r="K53">
        <v>10</v>
      </c>
      <c r="L53">
        <f>IFERROR(HLOOKUP(TRIM(I53), FeeTable!$B$1:$H$2, 2, FALSE) * H53, 0)</f>
        <v>0</v>
      </c>
      <c r="M53" t="str">
        <f t="shared" si="0"/>
        <v>Standard</v>
      </c>
    </row>
    <row r="54" spans="1:13" x14ac:dyDescent="0.3">
      <c r="A54" t="s">
        <v>121</v>
      </c>
      <c r="B54">
        <v>277</v>
      </c>
      <c r="C54">
        <v>4</v>
      </c>
      <c r="D54" t="str">
        <f>IFERROR(VLOOKUP(C54, merchants!$A$2:$D$41, 2, FALSE), "Merchant not found")</f>
        <v>Merchant_004</v>
      </c>
      <c r="E54" t="str">
        <f>IFERROR(VLOOKUP(C54, merchants!$A$2:$D$41, 3, FALSE), "Merchant not found")</f>
        <v>ecommerce</v>
      </c>
      <c r="F54" t="str">
        <f>IFERROR(VLOOKUP(C54, merchants!$A$2:$D$41, 4, FALSE), "Merchant not found")</f>
        <v>East</v>
      </c>
      <c r="G54" s="1">
        <v>46038.032638888886</v>
      </c>
      <c r="H54">
        <v>799</v>
      </c>
      <c r="I54" t="s">
        <v>66</v>
      </c>
      <c r="J54" t="s">
        <v>64</v>
      </c>
      <c r="K54">
        <v>44</v>
      </c>
      <c r="L54">
        <f>IFERROR(HLOOKUP(TRIM(I54), FeeTable!$B$1:$H$2, 2, FALSE) * H54, 0)</f>
        <v>0</v>
      </c>
      <c r="M54" t="str">
        <f t="shared" si="0"/>
        <v>Standard</v>
      </c>
    </row>
    <row r="55" spans="1:13" x14ac:dyDescent="0.3">
      <c r="A55" t="s">
        <v>122</v>
      </c>
      <c r="B55">
        <v>334</v>
      </c>
      <c r="C55">
        <v>3</v>
      </c>
      <c r="D55" t="str">
        <f>IFERROR(VLOOKUP(C55, merchants!$A$2:$D$41, 2, FALSE), "Merchant not found")</f>
        <v>Merchant_003</v>
      </c>
      <c r="E55" t="str">
        <f>IFERROR(VLOOKUP(C55, merchants!$A$2:$D$41, 3, FALSE), "Merchant not found")</f>
        <v>grocery</v>
      </c>
      <c r="F55" t="str">
        <f>IFERROR(VLOOKUP(C55, merchants!$A$2:$D$41, 4, FALSE), "Merchant not found")</f>
        <v>East</v>
      </c>
      <c r="G55" s="1">
        <v>46030.836111111108</v>
      </c>
      <c r="H55">
        <v>149</v>
      </c>
      <c r="I55" t="s">
        <v>63</v>
      </c>
      <c r="J55" t="s">
        <v>64</v>
      </c>
      <c r="K55">
        <v>96</v>
      </c>
      <c r="L55">
        <f>IFERROR(HLOOKUP(TRIM(I55), FeeTable!$B$1:$H$2, 2, FALSE) * H55, 0)</f>
        <v>1.639</v>
      </c>
      <c r="M55" t="str">
        <f t="shared" si="0"/>
        <v>Standard</v>
      </c>
    </row>
    <row r="56" spans="1:13" x14ac:dyDescent="0.3">
      <c r="A56" t="s">
        <v>123</v>
      </c>
      <c r="B56">
        <v>11</v>
      </c>
      <c r="C56">
        <v>40</v>
      </c>
      <c r="D56" t="str">
        <f>IFERROR(VLOOKUP(C56, merchants!$A$2:$D$41, 2, FALSE), "Merchant not found")</f>
        <v>Merchant_040</v>
      </c>
      <c r="E56" t="str">
        <f>IFERROR(VLOOKUP(C56, merchants!$A$2:$D$41, 3, FALSE), "Merchant not found")</f>
        <v>entertainment</v>
      </c>
      <c r="F56" t="str">
        <f>IFERROR(VLOOKUP(C56, merchants!$A$2:$D$41, 4, FALSE), "Merchant not found")</f>
        <v>South</v>
      </c>
      <c r="G56" s="1">
        <v>46023.3</v>
      </c>
      <c r="H56">
        <v>299</v>
      </c>
      <c r="I56" t="s">
        <v>66</v>
      </c>
      <c r="J56" t="s">
        <v>64</v>
      </c>
      <c r="K56">
        <v>19</v>
      </c>
      <c r="L56">
        <f>IFERROR(HLOOKUP(TRIM(I56), FeeTable!$B$1:$H$2, 2, FALSE) * H56, 0)</f>
        <v>0</v>
      </c>
      <c r="M56" t="str">
        <f t="shared" si="0"/>
        <v>Standard</v>
      </c>
    </row>
    <row r="57" spans="1:13" x14ac:dyDescent="0.3">
      <c r="A57" t="s">
        <v>124</v>
      </c>
      <c r="B57">
        <v>343</v>
      </c>
      <c r="C57">
        <v>8</v>
      </c>
      <c r="D57" t="str">
        <f>IFERROR(VLOOKUP(C57, merchants!$A$2:$D$41, 2, FALSE), "Merchant not found")</f>
        <v>Merchant_008</v>
      </c>
      <c r="E57" t="str">
        <f>IFERROR(VLOOKUP(C57, merchants!$A$2:$D$41, 3, FALSE), "Merchant not found")</f>
        <v>food_delivery</v>
      </c>
      <c r="F57" t="str">
        <f>IFERROR(VLOOKUP(C57, merchants!$A$2:$D$41, 4, FALSE), "Merchant not found")</f>
        <v>North</v>
      </c>
      <c r="G57" s="1">
        <v>46030.1875</v>
      </c>
      <c r="H57">
        <v>99</v>
      </c>
      <c r="I57" t="s">
        <v>66</v>
      </c>
      <c r="J57" t="s">
        <v>64</v>
      </c>
      <c r="K57">
        <v>72</v>
      </c>
      <c r="L57">
        <f>IFERROR(HLOOKUP(TRIM(I57), FeeTable!$B$1:$H$2, 2, FALSE) * H57, 0)</f>
        <v>0</v>
      </c>
      <c r="M57" t="str">
        <f t="shared" si="0"/>
        <v>Standard</v>
      </c>
    </row>
    <row r="58" spans="1:13" x14ac:dyDescent="0.3">
      <c r="A58" t="s">
        <v>125</v>
      </c>
      <c r="B58">
        <v>132</v>
      </c>
      <c r="C58">
        <v>24</v>
      </c>
      <c r="D58" t="str">
        <f>IFERROR(VLOOKUP(C58, merchants!$A$2:$D$41, 2, FALSE), "Merchant not found")</f>
        <v>Merchant_024</v>
      </c>
      <c r="E58" t="str">
        <f>IFERROR(VLOOKUP(C58, merchants!$A$2:$D$41, 3, FALSE), "Merchant not found")</f>
        <v>grocery</v>
      </c>
      <c r="F58" t="str">
        <f>IFERROR(VLOOKUP(C58, merchants!$A$2:$D$41, 4, FALSE), "Merchant not found")</f>
        <v>North</v>
      </c>
      <c r="G58" s="1">
        <v>46029.613888888889</v>
      </c>
      <c r="H58">
        <v>299</v>
      </c>
      <c r="I58" t="s">
        <v>63</v>
      </c>
      <c r="J58" t="s">
        <v>64</v>
      </c>
      <c r="K58">
        <v>21</v>
      </c>
      <c r="L58">
        <f>IFERROR(HLOOKUP(TRIM(I58), FeeTable!$B$1:$H$2, 2, FALSE) * H58, 0)</f>
        <v>3.2889999999999997</v>
      </c>
      <c r="M58" t="str">
        <f t="shared" si="0"/>
        <v>Standard</v>
      </c>
    </row>
    <row r="59" spans="1:13" x14ac:dyDescent="0.3">
      <c r="A59" t="s">
        <v>126</v>
      </c>
      <c r="B59">
        <v>59</v>
      </c>
      <c r="C59">
        <v>11</v>
      </c>
      <c r="D59" t="str">
        <f>IFERROR(VLOOKUP(C59, merchants!$A$2:$D$41, 2, FALSE), "Merchant not found")</f>
        <v>Merchant_011</v>
      </c>
      <c r="E59" t="str">
        <f>IFERROR(VLOOKUP(C59, merchants!$A$2:$D$41, 3, FALSE), "Merchant not found")</f>
        <v>ecommerce</v>
      </c>
      <c r="F59" t="str">
        <f>IFERROR(VLOOKUP(C59, merchants!$A$2:$D$41, 4, FALSE), "Merchant not found")</f>
        <v>North</v>
      </c>
      <c r="G59" s="1">
        <v>46042.824305555558</v>
      </c>
      <c r="H59">
        <v>299</v>
      </c>
      <c r="I59" t="s">
        <v>66</v>
      </c>
      <c r="J59" t="s">
        <v>64</v>
      </c>
      <c r="K59">
        <v>39</v>
      </c>
      <c r="L59">
        <f>IFERROR(HLOOKUP(TRIM(I59), FeeTable!$B$1:$H$2, 2, FALSE) * H59, 0)</f>
        <v>0</v>
      </c>
      <c r="M59" t="str">
        <f t="shared" si="0"/>
        <v>Standard</v>
      </c>
    </row>
    <row r="60" spans="1:13" x14ac:dyDescent="0.3">
      <c r="A60" t="s">
        <v>127</v>
      </c>
      <c r="B60">
        <v>160</v>
      </c>
      <c r="C60">
        <v>37</v>
      </c>
      <c r="D60" t="str">
        <f>IFERROR(VLOOKUP(C60, merchants!$A$2:$D$41, 2, FALSE), "Merchant not found")</f>
        <v>Merchant_037</v>
      </c>
      <c r="E60" t="str">
        <f>IFERROR(VLOOKUP(C60, merchants!$A$2:$D$41, 3, FALSE), "Merchant not found")</f>
        <v>entertainment</v>
      </c>
      <c r="F60" t="str">
        <f>IFERROR(VLOOKUP(C60, merchants!$A$2:$D$41, 4, FALSE), "Merchant not found")</f>
        <v>South</v>
      </c>
      <c r="G60" s="1">
        <v>46026.750694444447</v>
      </c>
      <c r="H60">
        <v>49</v>
      </c>
      <c r="I60" t="s">
        <v>63</v>
      </c>
      <c r="J60" t="s">
        <v>64</v>
      </c>
      <c r="K60">
        <v>86</v>
      </c>
      <c r="L60">
        <f>IFERROR(HLOOKUP(TRIM(I60), FeeTable!$B$1:$H$2, 2, FALSE) * H60, 0)</f>
        <v>0.53899999999999992</v>
      </c>
      <c r="M60" t="str">
        <f t="shared" si="0"/>
        <v>Standard</v>
      </c>
    </row>
    <row r="61" spans="1:13" x14ac:dyDescent="0.3">
      <c r="A61" t="s">
        <v>128</v>
      </c>
      <c r="B61">
        <v>102</v>
      </c>
      <c r="C61">
        <v>5</v>
      </c>
      <c r="D61" t="str">
        <f>IFERROR(VLOOKUP(C61, merchants!$A$2:$D$41, 2, FALSE), "Merchant not found")</f>
        <v>Merchant_005</v>
      </c>
      <c r="E61" t="str">
        <f>IFERROR(VLOOKUP(C61, merchants!$A$2:$D$41, 3, FALSE), "Merchant not found")</f>
        <v>recharge</v>
      </c>
      <c r="F61" t="str">
        <f>IFERROR(VLOOKUP(C61, merchants!$A$2:$D$41, 4, FALSE), "Merchant not found")</f>
        <v>South</v>
      </c>
      <c r="G61" s="1">
        <v>46052.517361111109</v>
      </c>
      <c r="H61">
        <v>2999</v>
      </c>
      <c r="I61" t="s">
        <v>66</v>
      </c>
      <c r="J61" t="s">
        <v>64</v>
      </c>
      <c r="K61">
        <v>75</v>
      </c>
      <c r="L61">
        <f>IFERROR(HLOOKUP(TRIM(I61), FeeTable!$B$1:$H$2, 2, FALSE) * H61, 0)</f>
        <v>0</v>
      </c>
      <c r="M61" t="str">
        <f t="shared" si="0"/>
        <v>Standard</v>
      </c>
    </row>
    <row r="62" spans="1:13" x14ac:dyDescent="0.3">
      <c r="A62" t="s">
        <v>129</v>
      </c>
      <c r="B62">
        <v>53</v>
      </c>
      <c r="C62">
        <v>20</v>
      </c>
      <c r="D62" t="str">
        <f>IFERROR(VLOOKUP(C62, merchants!$A$2:$D$41, 2, FALSE), "Merchant not found")</f>
        <v>Merchant_020</v>
      </c>
      <c r="E62" t="str">
        <f>IFERROR(VLOOKUP(C62, merchants!$A$2:$D$41, 3, FALSE), "Merchant not found")</f>
        <v>food_delivery</v>
      </c>
      <c r="F62" t="str">
        <f>IFERROR(VLOOKUP(C62, merchants!$A$2:$D$41, 4, FALSE), "Merchant not found")</f>
        <v>East</v>
      </c>
      <c r="G62" s="1">
        <v>46045.84375</v>
      </c>
      <c r="H62">
        <v>49</v>
      </c>
      <c r="I62" t="s">
        <v>69</v>
      </c>
      <c r="J62" t="s">
        <v>64</v>
      </c>
      <c r="K62">
        <v>87</v>
      </c>
      <c r="L62">
        <f>IFERROR(HLOOKUP(TRIM(I62), FeeTable!$B$1:$H$2, 2, FALSE) * H62, 0)</f>
        <v>0.73499999999999999</v>
      </c>
      <c r="M62" t="str">
        <f t="shared" si="0"/>
        <v>Standard</v>
      </c>
    </row>
    <row r="63" spans="1:13" x14ac:dyDescent="0.3">
      <c r="A63" t="s">
        <v>130</v>
      </c>
      <c r="B63">
        <v>290</v>
      </c>
      <c r="C63">
        <v>3</v>
      </c>
      <c r="D63" t="str">
        <f>IFERROR(VLOOKUP(C63, merchants!$A$2:$D$41, 2, FALSE), "Merchant not found")</f>
        <v>Merchant_003</v>
      </c>
      <c r="E63" t="str">
        <f>IFERROR(VLOOKUP(C63, merchants!$A$2:$D$41, 3, FALSE), "Merchant not found")</f>
        <v>grocery</v>
      </c>
      <c r="F63" t="str">
        <f>IFERROR(VLOOKUP(C63, merchants!$A$2:$D$41, 4, FALSE), "Merchant not found")</f>
        <v>East</v>
      </c>
      <c r="G63" s="1">
        <v>46042.159722222219</v>
      </c>
      <c r="H63">
        <v>99</v>
      </c>
      <c r="I63" t="s">
        <v>63</v>
      </c>
      <c r="J63" t="s">
        <v>64</v>
      </c>
      <c r="K63">
        <v>44</v>
      </c>
      <c r="L63">
        <f>IFERROR(HLOOKUP(TRIM(I63), FeeTable!$B$1:$H$2, 2, FALSE) * H63, 0)</f>
        <v>1.089</v>
      </c>
      <c r="M63" t="str">
        <f t="shared" si="0"/>
        <v>Standard</v>
      </c>
    </row>
    <row r="64" spans="1:13" x14ac:dyDescent="0.3">
      <c r="A64" t="s">
        <v>131</v>
      </c>
      <c r="B64">
        <v>190</v>
      </c>
      <c r="C64">
        <v>5</v>
      </c>
      <c r="D64" t="str">
        <f>IFERROR(VLOOKUP(C64, merchants!$A$2:$D$41, 2, FALSE), "Merchant not found")</f>
        <v>Merchant_005</v>
      </c>
      <c r="E64" t="str">
        <f>IFERROR(VLOOKUP(C64, merchants!$A$2:$D$41, 3, FALSE), "Merchant not found")</f>
        <v>recharge</v>
      </c>
      <c r="F64" t="str">
        <f>IFERROR(VLOOKUP(C64, merchants!$A$2:$D$41, 4, FALSE), "Merchant not found")</f>
        <v>South</v>
      </c>
      <c r="G64" s="1">
        <v>46040.570833333331</v>
      </c>
      <c r="H64">
        <v>299</v>
      </c>
      <c r="I64" t="s">
        <v>66</v>
      </c>
      <c r="J64" t="s">
        <v>64</v>
      </c>
      <c r="K64">
        <v>64</v>
      </c>
      <c r="L64">
        <f>IFERROR(HLOOKUP(TRIM(I64), FeeTable!$B$1:$H$2, 2, FALSE) * H64, 0)</f>
        <v>0</v>
      </c>
      <c r="M64" t="str">
        <f t="shared" si="0"/>
        <v>Standard</v>
      </c>
    </row>
    <row r="65" spans="1:13" x14ac:dyDescent="0.3">
      <c r="A65" t="s">
        <v>132</v>
      </c>
      <c r="B65">
        <v>216</v>
      </c>
      <c r="C65">
        <v>32</v>
      </c>
      <c r="D65" t="str">
        <f>IFERROR(VLOOKUP(C65, merchants!$A$2:$D$41, 2, FALSE), "Merchant not found")</f>
        <v>Merchant_032</v>
      </c>
      <c r="E65" t="str">
        <f>IFERROR(VLOOKUP(C65, merchants!$A$2:$D$41, 3, FALSE), "Merchant not found")</f>
        <v>food_delivery</v>
      </c>
      <c r="F65" t="str">
        <f>IFERROR(VLOOKUP(C65, merchants!$A$2:$D$41, 4, FALSE), "Merchant not found")</f>
        <v>West</v>
      </c>
      <c r="G65" s="1">
        <v>46043.416666666664</v>
      </c>
      <c r="H65">
        <v>49</v>
      </c>
      <c r="I65" t="s">
        <v>78</v>
      </c>
      <c r="J65" t="s">
        <v>64</v>
      </c>
      <c r="K65">
        <v>13</v>
      </c>
      <c r="L65">
        <f>IFERROR(HLOOKUP(TRIM(I65), FeeTable!$B$1:$H$2, 2, FALSE) * H65, 0)</f>
        <v>0.8819999999999999</v>
      </c>
      <c r="M65" t="str">
        <f t="shared" si="0"/>
        <v>Standard</v>
      </c>
    </row>
    <row r="66" spans="1:13" x14ac:dyDescent="0.3">
      <c r="A66" t="s">
        <v>133</v>
      </c>
      <c r="B66">
        <v>236</v>
      </c>
      <c r="C66">
        <v>10</v>
      </c>
      <c r="D66" t="str">
        <f>IFERROR(VLOOKUP(C66, merchants!$A$2:$D$41, 2, FALSE), "Merchant not found")</f>
        <v>Merchant_010</v>
      </c>
      <c r="E66" t="str">
        <f>IFERROR(VLOOKUP(C66, merchants!$A$2:$D$41, 3, FALSE), "Merchant not found")</f>
        <v>grocery</v>
      </c>
      <c r="F66" t="str">
        <f>IFERROR(VLOOKUP(C66, merchants!$A$2:$D$41, 4, FALSE), "Merchant not found")</f>
        <v>West</v>
      </c>
      <c r="G66" s="1">
        <v>46036.486111111109</v>
      </c>
      <c r="H66">
        <v>499</v>
      </c>
      <c r="I66" t="s">
        <v>66</v>
      </c>
      <c r="J66" t="s">
        <v>64</v>
      </c>
      <c r="K66">
        <v>55</v>
      </c>
      <c r="L66">
        <f>IFERROR(HLOOKUP(TRIM(I66), FeeTable!$B$1:$H$2, 2, FALSE) * H66, 0)</f>
        <v>0</v>
      </c>
      <c r="M66" t="str">
        <f t="shared" si="0"/>
        <v>Standard</v>
      </c>
    </row>
    <row r="67" spans="1:13" x14ac:dyDescent="0.3">
      <c r="A67" t="s">
        <v>134</v>
      </c>
      <c r="B67">
        <v>334</v>
      </c>
      <c r="C67">
        <v>18</v>
      </c>
      <c r="D67" t="str">
        <f>IFERROR(VLOOKUP(C67, merchants!$A$2:$D$41, 2, FALSE), "Merchant not found")</f>
        <v>Merchant_018</v>
      </c>
      <c r="E67" t="str">
        <f>IFERROR(VLOOKUP(C67, merchants!$A$2:$D$41, 3, FALSE), "Merchant not found")</f>
        <v>grocery</v>
      </c>
      <c r="F67" t="str">
        <f>IFERROR(VLOOKUP(C67, merchants!$A$2:$D$41, 4, FALSE), "Merchant not found")</f>
        <v>West</v>
      </c>
      <c r="G67" s="1">
        <v>46028.981249999997</v>
      </c>
      <c r="H67">
        <v>499</v>
      </c>
      <c r="I67" t="s">
        <v>78</v>
      </c>
      <c r="J67" t="s">
        <v>64</v>
      </c>
      <c r="K67">
        <v>78</v>
      </c>
      <c r="L67">
        <f>IFERROR(HLOOKUP(TRIM(I67), FeeTable!$B$1:$H$2, 2, FALSE) * H67, 0)</f>
        <v>8.9819999999999993</v>
      </c>
      <c r="M67" t="str">
        <f t="shared" ref="M67:M130" si="1">IF(AND(H67 &gt; 5000, F67 &lt;&gt; "East"), "High-Value Merchant Day", "Standard")</f>
        <v>Standard</v>
      </c>
    </row>
    <row r="68" spans="1:13" x14ac:dyDescent="0.3">
      <c r="A68" t="s">
        <v>135</v>
      </c>
      <c r="B68">
        <v>248</v>
      </c>
      <c r="C68">
        <v>30</v>
      </c>
      <c r="D68" t="str">
        <f>IFERROR(VLOOKUP(C68, merchants!$A$2:$D$41, 2, FALSE), "Merchant not found")</f>
        <v>Merchant_030</v>
      </c>
      <c r="E68" t="str">
        <f>IFERROR(VLOOKUP(C68, merchants!$A$2:$D$41, 3, FALSE), "Merchant not found")</f>
        <v>travel</v>
      </c>
      <c r="F68" t="str">
        <f>IFERROR(VLOOKUP(C68, merchants!$A$2:$D$41, 4, FALSE), "Merchant not found")</f>
        <v>West</v>
      </c>
      <c r="G68" s="1">
        <v>46048.742361111108</v>
      </c>
      <c r="H68">
        <v>799</v>
      </c>
      <c r="I68" t="s">
        <v>63</v>
      </c>
      <c r="J68" t="s">
        <v>64</v>
      </c>
      <c r="K68">
        <v>55</v>
      </c>
      <c r="L68">
        <f>IFERROR(HLOOKUP(TRIM(I68), FeeTable!$B$1:$H$2, 2, FALSE) * H68, 0)</f>
        <v>8.7889999999999997</v>
      </c>
      <c r="M68" t="str">
        <f t="shared" si="1"/>
        <v>Standard</v>
      </c>
    </row>
    <row r="69" spans="1:13" x14ac:dyDescent="0.3">
      <c r="A69" t="s">
        <v>136</v>
      </c>
      <c r="B69">
        <v>138</v>
      </c>
      <c r="C69">
        <v>21</v>
      </c>
      <c r="D69" t="str">
        <f>IFERROR(VLOOKUP(C69, merchants!$A$2:$D$41, 2, FALSE), "Merchant not found")</f>
        <v>Merchant_021</v>
      </c>
      <c r="E69" t="str">
        <f>IFERROR(VLOOKUP(C69, merchants!$A$2:$D$41, 3, FALSE), "Merchant not found")</f>
        <v>food_delivery</v>
      </c>
      <c r="F69" t="str">
        <f>IFERROR(VLOOKUP(C69, merchants!$A$2:$D$41, 4, FALSE), "Merchant not found")</f>
        <v>East</v>
      </c>
      <c r="G69" s="1">
        <v>46049.984027777777</v>
      </c>
      <c r="H69">
        <v>49</v>
      </c>
      <c r="I69" t="s">
        <v>78</v>
      </c>
      <c r="J69" t="s">
        <v>64</v>
      </c>
      <c r="K69">
        <v>31</v>
      </c>
      <c r="L69">
        <f>IFERROR(HLOOKUP(TRIM(I69), FeeTable!$B$1:$H$2, 2, FALSE) * H69, 0)</f>
        <v>0.8819999999999999</v>
      </c>
      <c r="M69" t="str">
        <f t="shared" si="1"/>
        <v>Standard</v>
      </c>
    </row>
    <row r="70" spans="1:13" x14ac:dyDescent="0.3">
      <c r="A70" t="s">
        <v>137</v>
      </c>
      <c r="B70">
        <v>231</v>
      </c>
      <c r="C70">
        <v>16</v>
      </c>
      <c r="D70" t="str">
        <f>IFERROR(VLOOKUP(C70, merchants!$A$2:$D$41, 2, FALSE), "Merchant not found")</f>
        <v>Merchant_016</v>
      </c>
      <c r="E70" t="str">
        <f>IFERROR(VLOOKUP(C70, merchants!$A$2:$D$41, 3, FALSE), "Merchant not found")</f>
        <v>bill_payment</v>
      </c>
      <c r="F70" t="str">
        <f>IFERROR(VLOOKUP(C70, merchants!$A$2:$D$41, 4, FALSE), "Merchant not found")</f>
        <v>West</v>
      </c>
      <c r="G70" s="1">
        <v>46049.095138888886</v>
      </c>
      <c r="H70">
        <v>49</v>
      </c>
      <c r="I70" t="s">
        <v>66</v>
      </c>
      <c r="J70" t="s">
        <v>64</v>
      </c>
      <c r="K70">
        <v>96</v>
      </c>
      <c r="L70">
        <f>IFERROR(HLOOKUP(TRIM(I70), FeeTable!$B$1:$H$2, 2, FALSE) * H70, 0)</f>
        <v>0</v>
      </c>
      <c r="M70" t="str">
        <f t="shared" si="1"/>
        <v>Standard</v>
      </c>
    </row>
    <row r="71" spans="1:13" x14ac:dyDescent="0.3">
      <c r="A71" t="s">
        <v>138</v>
      </c>
      <c r="B71">
        <v>343</v>
      </c>
      <c r="C71">
        <v>25</v>
      </c>
      <c r="D71" t="str">
        <f>IFERROR(VLOOKUP(C71, merchants!$A$2:$D$41, 2, FALSE), "Merchant not found")</f>
        <v>Merchant_025</v>
      </c>
      <c r="E71" t="str">
        <f>IFERROR(VLOOKUP(C71, merchants!$A$2:$D$41, 3, FALSE), "Merchant not found")</f>
        <v>travel</v>
      </c>
      <c r="F71" t="str">
        <f>IFERROR(VLOOKUP(C71, merchants!$A$2:$D$41, 4, FALSE), "Merchant not found")</f>
        <v>South</v>
      </c>
      <c r="G71" s="1">
        <v>46037.777083333334</v>
      </c>
      <c r="H71">
        <v>49</v>
      </c>
      <c r="I71" t="s">
        <v>66</v>
      </c>
      <c r="J71" t="s">
        <v>64</v>
      </c>
      <c r="K71">
        <v>43</v>
      </c>
      <c r="L71">
        <f>IFERROR(HLOOKUP(TRIM(I71), FeeTable!$B$1:$H$2, 2, FALSE) * H71, 0)</f>
        <v>0</v>
      </c>
      <c r="M71" t="str">
        <f t="shared" si="1"/>
        <v>Standard</v>
      </c>
    </row>
    <row r="72" spans="1:13" x14ac:dyDescent="0.3">
      <c r="A72" t="s">
        <v>139</v>
      </c>
      <c r="B72">
        <v>167</v>
      </c>
      <c r="C72">
        <v>12</v>
      </c>
      <c r="D72" t="str">
        <f>IFERROR(VLOOKUP(C72, merchants!$A$2:$D$41, 2, FALSE), "Merchant not found")</f>
        <v>Merchant_012</v>
      </c>
      <c r="E72" t="str">
        <f>IFERROR(VLOOKUP(C72, merchants!$A$2:$D$41, 3, FALSE), "Merchant not found")</f>
        <v>ecommerce</v>
      </c>
      <c r="F72" t="str">
        <f>IFERROR(VLOOKUP(C72, merchants!$A$2:$D$41, 4, FALSE), "Merchant not found")</f>
        <v>East</v>
      </c>
      <c r="G72" s="1">
        <v>46023.662499999999</v>
      </c>
      <c r="H72">
        <v>499</v>
      </c>
      <c r="I72" t="s">
        <v>63</v>
      </c>
      <c r="J72" t="s">
        <v>64</v>
      </c>
      <c r="K72">
        <v>62</v>
      </c>
      <c r="L72">
        <f>IFERROR(HLOOKUP(TRIM(I72), FeeTable!$B$1:$H$2, 2, FALSE) * H72, 0)</f>
        <v>5.4889999999999999</v>
      </c>
      <c r="M72" t="str">
        <f t="shared" si="1"/>
        <v>Standard</v>
      </c>
    </row>
    <row r="73" spans="1:13" x14ac:dyDescent="0.3">
      <c r="A73" t="s">
        <v>140</v>
      </c>
      <c r="B73">
        <v>133</v>
      </c>
      <c r="C73">
        <v>22</v>
      </c>
      <c r="D73" t="str">
        <f>IFERROR(VLOOKUP(C73, merchants!$A$2:$D$41, 2, FALSE), "Merchant not found")</f>
        <v>Merchant_022</v>
      </c>
      <c r="E73" t="str">
        <f>IFERROR(VLOOKUP(C73, merchants!$A$2:$D$41, 3, FALSE), "Merchant not found")</f>
        <v>travel</v>
      </c>
      <c r="F73" t="str">
        <f>IFERROR(VLOOKUP(C73, merchants!$A$2:$D$41, 4, FALSE), "Merchant not found")</f>
        <v>South</v>
      </c>
      <c r="G73" s="1">
        <v>46029.493750000001</v>
      </c>
      <c r="H73">
        <v>499</v>
      </c>
      <c r="I73" t="s">
        <v>66</v>
      </c>
      <c r="J73" t="s">
        <v>64</v>
      </c>
      <c r="K73">
        <v>35</v>
      </c>
      <c r="L73">
        <f>IFERROR(HLOOKUP(TRIM(I73), FeeTable!$B$1:$H$2, 2, FALSE) * H73, 0)</f>
        <v>0</v>
      </c>
      <c r="M73" t="str">
        <f t="shared" si="1"/>
        <v>Standard</v>
      </c>
    </row>
    <row r="74" spans="1:13" x14ac:dyDescent="0.3">
      <c r="A74" t="s">
        <v>141</v>
      </c>
      <c r="B74">
        <v>142</v>
      </c>
      <c r="C74">
        <v>36</v>
      </c>
      <c r="D74" t="str">
        <f>IFERROR(VLOOKUP(C74, merchants!$A$2:$D$41, 2, FALSE), "Merchant not found")</f>
        <v>Merchant_036</v>
      </c>
      <c r="E74" t="str">
        <f>IFERROR(VLOOKUP(C74, merchants!$A$2:$D$41, 3, FALSE), "Merchant not found")</f>
        <v>entertainment</v>
      </c>
      <c r="F74" t="str">
        <f>IFERROR(VLOOKUP(C74, merchants!$A$2:$D$41, 4, FALSE), "Merchant not found")</f>
        <v>East</v>
      </c>
      <c r="G74" s="1">
        <v>46051.822222222225</v>
      </c>
      <c r="H74">
        <v>799</v>
      </c>
      <c r="I74" t="s">
        <v>63</v>
      </c>
      <c r="J74" t="s">
        <v>64</v>
      </c>
      <c r="K74">
        <v>1</v>
      </c>
      <c r="L74">
        <f>IFERROR(HLOOKUP(TRIM(I74), FeeTable!$B$1:$H$2, 2, FALSE) * H74, 0)</f>
        <v>8.7889999999999997</v>
      </c>
      <c r="M74" t="str">
        <f t="shared" si="1"/>
        <v>Standard</v>
      </c>
    </row>
    <row r="75" spans="1:13" x14ac:dyDescent="0.3">
      <c r="A75" t="s">
        <v>142</v>
      </c>
      <c r="B75">
        <v>124</v>
      </c>
      <c r="C75">
        <v>27</v>
      </c>
      <c r="D75" t="str">
        <f>IFERROR(VLOOKUP(C75, merchants!$A$2:$D$41, 2, FALSE), "Merchant not found")</f>
        <v>Merchant_027</v>
      </c>
      <c r="E75" t="str">
        <f>IFERROR(VLOOKUP(C75, merchants!$A$2:$D$41, 3, FALSE), "Merchant not found")</f>
        <v>ecommerce</v>
      </c>
      <c r="F75" t="str">
        <f>IFERROR(VLOOKUP(C75, merchants!$A$2:$D$41, 4, FALSE), "Merchant not found")</f>
        <v>North</v>
      </c>
      <c r="G75" s="1">
        <v>46039.253472222219</v>
      </c>
      <c r="H75">
        <v>499</v>
      </c>
      <c r="I75" t="s">
        <v>63</v>
      </c>
      <c r="J75" t="s">
        <v>64</v>
      </c>
      <c r="K75">
        <v>62</v>
      </c>
      <c r="L75">
        <f>IFERROR(HLOOKUP(TRIM(I75), FeeTable!$B$1:$H$2, 2, FALSE) * H75, 0)</f>
        <v>5.4889999999999999</v>
      </c>
      <c r="M75" t="str">
        <f t="shared" si="1"/>
        <v>Standard</v>
      </c>
    </row>
    <row r="76" spans="1:13" x14ac:dyDescent="0.3">
      <c r="A76" t="s">
        <v>143</v>
      </c>
      <c r="B76">
        <v>244</v>
      </c>
      <c r="C76">
        <v>32</v>
      </c>
      <c r="D76" t="str">
        <f>IFERROR(VLOOKUP(C76, merchants!$A$2:$D$41, 2, FALSE), "Merchant not found")</f>
        <v>Merchant_032</v>
      </c>
      <c r="E76" t="str">
        <f>IFERROR(VLOOKUP(C76, merchants!$A$2:$D$41, 3, FALSE), "Merchant not found")</f>
        <v>food_delivery</v>
      </c>
      <c r="F76" t="str">
        <f>IFERROR(VLOOKUP(C76, merchants!$A$2:$D$41, 4, FALSE), "Merchant not found")</f>
        <v>West</v>
      </c>
      <c r="G76" s="1">
        <v>46040.322222222225</v>
      </c>
      <c r="H76">
        <v>149</v>
      </c>
      <c r="I76" t="s">
        <v>66</v>
      </c>
      <c r="J76" t="s">
        <v>64</v>
      </c>
      <c r="K76">
        <v>57</v>
      </c>
      <c r="L76">
        <f>IFERROR(HLOOKUP(TRIM(I76), FeeTable!$B$1:$H$2, 2, FALSE) * H76, 0)</f>
        <v>0</v>
      </c>
      <c r="M76" t="str">
        <f t="shared" si="1"/>
        <v>Standard</v>
      </c>
    </row>
    <row r="77" spans="1:13" x14ac:dyDescent="0.3">
      <c r="A77" t="s">
        <v>144</v>
      </c>
      <c r="B77">
        <v>151</v>
      </c>
      <c r="C77">
        <v>15</v>
      </c>
      <c r="D77" t="str">
        <f>IFERROR(VLOOKUP(C77, merchants!$A$2:$D$41, 2, FALSE), "Merchant not found")</f>
        <v>Merchant_015</v>
      </c>
      <c r="E77" t="str">
        <f>IFERROR(VLOOKUP(C77, merchants!$A$2:$D$41, 3, FALSE), "Merchant not found")</f>
        <v>travel</v>
      </c>
      <c r="F77" t="str">
        <f>IFERROR(VLOOKUP(C77, merchants!$A$2:$D$41, 4, FALSE), "Merchant not found")</f>
        <v>North</v>
      </c>
      <c r="G77" s="1">
        <v>46048.003472222219</v>
      </c>
      <c r="H77">
        <v>4999</v>
      </c>
      <c r="I77" t="s">
        <v>66</v>
      </c>
      <c r="J77" t="s">
        <v>64</v>
      </c>
      <c r="K77">
        <v>51</v>
      </c>
      <c r="L77">
        <f>IFERROR(HLOOKUP(TRIM(I77), FeeTable!$B$1:$H$2, 2, FALSE) * H77, 0)</f>
        <v>0</v>
      </c>
      <c r="M77" t="str">
        <f t="shared" si="1"/>
        <v>Standard</v>
      </c>
    </row>
    <row r="78" spans="1:13" x14ac:dyDescent="0.3">
      <c r="A78" t="s">
        <v>145</v>
      </c>
      <c r="B78">
        <v>340</v>
      </c>
      <c r="C78">
        <v>38</v>
      </c>
      <c r="D78" t="str">
        <f>IFERROR(VLOOKUP(C78, merchants!$A$2:$D$41, 2, FALSE), "Merchant not found")</f>
        <v>Merchant_038</v>
      </c>
      <c r="E78" t="str">
        <f>IFERROR(VLOOKUP(C78, merchants!$A$2:$D$41, 3, FALSE), "Merchant not found")</f>
        <v>grocery</v>
      </c>
      <c r="F78" t="str">
        <f>IFERROR(VLOOKUP(C78, merchants!$A$2:$D$41, 4, FALSE), "Merchant not found")</f>
        <v>East</v>
      </c>
      <c r="G78" s="1">
        <v>46045.304861111108</v>
      </c>
      <c r="H78">
        <v>499</v>
      </c>
      <c r="I78" t="s">
        <v>78</v>
      </c>
      <c r="J78" t="s">
        <v>64</v>
      </c>
      <c r="K78">
        <v>47</v>
      </c>
      <c r="L78">
        <f>IFERROR(HLOOKUP(TRIM(I78), FeeTable!$B$1:$H$2, 2, FALSE) * H78, 0)</f>
        <v>8.9819999999999993</v>
      </c>
      <c r="M78" t="str">
        <f t="shared" si="1"/>
        <v>Standard</v>
      </c>
    </row>
    <row r="79" spans="1:13" x14ac:dyDescent="0.3">
      <c r="A79" t="s">
        <v>146</v>
      </c>
      <c r="B79">
        <v>177</v>
      </c>
      <c r="C79">
        <v>28</v>
      </c>
      <c r="D79" t="str">
        <f>IFERROR(VLOOKUP(C79, merchants!$A$2:$D$41, 2, FALSE), "Merchant not found")</f>
        <v>Merchant_028</v>
      </c>
      <c r="E79" t="str">
        <f>IFERROR(VLOOKUP(C79, merchants!$A$2:$D$41, 3, FALSE), "Merchant not found")</f>
        <v>ecommerce</v>
      </c>
      <c r="F79" t="str">
        <f>IFERROR(VLOOKUP(C79, merchants!$A$2:$D$41, 4, FALSE), "Merchant not found")</f>
        <v>South</v>
      </c>
      <c r="G79" s="1">
        <v>46038.731249999997</v>
      </c>
      <c r="H79">
        <v>299</v>
      </c>
      <c r="I79" t="s">
        <v>66</v>
      </c>
      <c r="J79" t="s">
        <v>64</v>
      </c>
      <c r="K79">
        <v>95</v>
      </c>
      <c r="L79">
        <f>IFERROR(HLOOKUP(TRIM(I79), FeeTable!$B$1:$H$2, 2, FALSE) * H79, 0)</f>
        <v>0</v>
      </c>
      <c r="M79" t="str">
        <f t="shared" si="1"/>
        <v>Standard</v>
      </c>
    </row>
    <row r="80" spans="1:13" x14ac:dyDescent="0.3">
      <c r="A80" t="s">
        <v>147</v>
      </c>
      <c r="B80">
        <v>233</v>
      </c>
      <c r="C80">
        <v>18</v>
      </c>
      <c r="D80" t="str">
        <f>IFERROR(VLOOKUP(C80, merchants!$A$2:$D$41, 2, FALSE), "Merchant not found")</f>
        <v>Merchant_018</v>
      </c>
      <c r="E80" t="str">
        <f>IFERROR(VLOOKUP(C80, merchants!$A$2:$D$41, 3, FALSE), "Merchant not found")</f>
        <v>grocery</v>
      </c>
      <c r="F80" t="str">
        <f>IFERROR(VLOOKUP(C80, merchants!$A$2:$D$41, 4, FALSE), "Merchant not found")</f>
        <v>West</v>
      </c>
      <c r="G80" s="1">
        <v>46040.431944444441</v>
      </c>
      <c r="H80">
        <v>499</v>
      </c>
      <c r="I80" t="s">
        <v>66</v>
      </c>
      <c r="J80" t="s">
        <v>64</v>
      </c>
      <c r="K80">
        <v>39</v>
      </c>
      <c r="L80">
        <f>IFERROR(HLOOKUP(TRIM(I80), FeeTable!$B$1:$H$2, 2, FALSE) * H80, 0)</f>
        <v>0</v>
      </c>
      <c r="M80" t="str">
        <f t="shared" si="1"/>
        <v>Standard</v>
      </c>
    </row>
    <row r="81" spans="1:13" x14ac:dyDescent="0.3">
      <c r="A81" t="s">
        <v>148</v>
      </c>
      <c r="B81">
        <v>99</v>
      </c>
      <c r="C81">
        <v>21</v>
      </c>
      <c r="D81" t="str">
        <f>IFERROR(VLOOKUP(C81, merchants!$A$2:$D$41, 2, FALSE), "Merchant not found")</f>
        <v>Merchant_021</v>
      </c>
      <c r="E81" t="str">
        <f>IFERROR(VLOOKUP(C81, merchants!$A$2:$D$41, 3, FALSE), "Merchant not found")</f>
        <v>food_delivery</v>
      </c>
      <c r="F81" t="str">
        <f>IFERROR(VLOOKUP(C81, merchants!$A$2:$D$41, 4, FALSE), "Merchant not found")</f>
        <v>East</v>
      </c>
      <c r="G81" s="1">
        <v>46031.296527777777</v>
      </c>
      <c r="H81">
        <v>499</v>
      </c>
      <c r="I81" t="s">
        <v>66</v>
      </c>
      <c r="J81" t="s">
        <v>64</v>
      </c>
      <c r="K81">
        <v>15</v>
      </c>
      <c r="L81">
        <f>IFERROR(HLOOKUP(TRIM(I81), FeeTable!$B$1:$H$2, 2, FALSE) * H81, 0)</f>
        <v>0</v>
      </c>
      <c r="M81" t="str">
        <f t="shared" si="1"/>
        <v>Standard</v>
      </c>
    </row>
    <row r="82" spans="1:13" x14ac:dyDescent="0.3">
      <c r="A82" t="s">
        <v>149</v>
      </c>
      <c r="B82">
        <v>95</v>
      </c>
      <c r="C82">
        <v>13</v>
      </c>
      <c r="D82" t="str">
        <f>IFERROR(VLOOKUP(C82, merchants!$A$2:$D$41, 2, FALSE), "Merchant not found")</f>
        <v>Merchant_013</v>
      </c>
      <c r="E82" t="str">
        <f>IFERROR(VLOOKUP(C82, merchants!$A$2:$D$41, 3, FALSE), "Merchant not found")</f>
        <v>travel</v>
      </c>
      <c r="F82" t="str">
        <f>IFERROR(VLOOKUP(C82, merchants!$A$2:$D$41, 4, FALSE), "Merchant not found")</f>
        <v>East</v>
      </c>
      <c r="G82" s="1">
        <v>46046.741666666669</v>
      </c>
      <c r="H82">
        <v>2999</v>
      </c>
      <c r="I82" t="s">
        <v>69</v>
      </c>
      <c r="J82" t="s">
        <v>79</v>
      </c>
      <c r="K82">
        <v>27</v>
      </c>
      <c r="L82">
        <f>IFERROR(HLOOKUP(TRIM(I82), FeeTable!$B$1:$H$2, 2, FALSE) * H82, 0)</f>
        <v>44.984999999999999</v>
      </c>
      <c r="M82" t="str">
        <f t="shared" si="1"/>
        <v>Standard</v>
      </c>
    </row>
    <row r="83" spans="1:13" x14ac:dyDescent="0.3">
      <c r="A83" t="s">
        <v>150</v>
      </c>
      <c r="B83">
        <v>302</v>
      </c>
      <c r="C83">
        <v>34</v>
      </c>
      <c r="D83" t="str">
        <f>IFERROR(VLOOKUP(C83, merchants!$A$2:$D$41, 2, FALSE), "Merchant not found")</f>
        <v>Merchant_034</v>
      </c>
      <c r="E83" t="str">
        <f>IFERROR(VLOOKUP(C83, merchants!$A$2:$D$41, 3, FALSE), "Merchant not found")</f>
        <v>travel</v>
      </c>
      <c r="F83" t="str">
        <f>IFERROR(VLOOKUP(C83, merchants!$A$2:$D$41, 4, FALSE), "Merchant not found")</f>
        <v>South</v>
      </c>
      <c r="G83" s="1">
        <v>46046.636805555558</v>
      </c>
      <c r="H83">
        <v>49</v>
      </c>
      <c r="I83" t="s">
        <v>69</v>
      </c>
      <c r="J83" t="s">
        <v>64</v>
      </c>
      <c r="K83">
        <v>76</v>
      </c>
      <c r="L83">
        <f>IFERROR(HLOOKUP(TRIM(I83), FeeTable!$B$1:$H$2, 2, FALSE) * H83, 0)</f>
        <v>0.73499999999999999</v>
      </c>
      <c r="M83" t="str">
        <f t="shared" si="1"/>
        <v>Standard</v>
      </c>
    </row>
    <row r="84" spans="1:13" x14ac:dyDescent="0.3">
      <c r="A84" t="s">
        <v>151</v>
      </c>
      <c r="B84">
        <v>100</v>
      </c>
      <c r="C84">
        <v>19</v>
      </c>
      <c r="D84" t="str">
        <f>IFERROR(VLOOKUP(C84, merchants!$A$2:$D$41, 2, FALSE), "Merchant not found")</f>
        <v>Merchant_019</v>
      </c>
      <c r="E84" t="str">
        <f>IFERROR(VLOOKUP(C84, merchants!$A$2:$D$41, 3, FALSE), "Merchant not found")</f>
        <v>grocery</v>
      </c>
      <c r="F84" t="str">
        <f>IFERROR(VLOOKUP(C84, merchants!$A$2:$D$41, 4, FALSE), "Merchant not found")</f>
        <v>North</v>
      </c>
      <c r="G84" s="1">
        <v>46032.161805555559</v>
      </c>
      <c r="H84">
        <v>2999</v>
      </c>
      <c r="I84" t="s">
        <v>69</v>
      </c>
      <c r="J84" t="s">
        <v>64</v>
      </c>
      <c r="K84">
        <v>29</v>
      </c>
      <c r="L84">
        <f>IFERROR(HLOOKUP(TRIM(I84), FeeTable!$B$1:$H$2, 2, FALSE) * H84, 0)</f>
        <v>44.984999999999999</v>
      </c>
      <c r="M84" t="str">
        <f t="shared" si="1"/>
        <v>Standard</v>
      </c>
    </row>
    <row r="85" spans="1:13" x14ac:dyDescent="0.3">
      <c r="A85" t="s">
        <v>152</v>
      </c>
      <c r="B85">
        <v>8</v>
      </c>
      <c r="C85">
        <v>35</v>
      </c>
      <c r="D85" t="str">
        <f>IFERROR(VLOOKUP(C85, merchants!$A$2:$D$41, 2, FALSE), "Merchant not found")</f>
        <v>Merchant_035</v>
      </c>
      <c r="E85" t="str">
        <f>IFERROR(VLOOKUP(C85, merchants!$A$2:$D$41, 3, FALSE), "Merchant not found")</f>
        <v>recharge</v>
      </c>
      <c r="F85" t="str">
        <f>IFERROR(VLOOKUP(C85, merchants!$A$2:$D$41, 4, FALSE), "Merchant not found")</f>
        <v>East</v>
      </c>
      <c r="G85" s="1">
        <v>46034.22152777778</v>
      </c>
      <c r="H85">
        <v>99</v>
      </c>
      <c r="I85" t="s">
        <v>66</v>
      </c>
      <c r="J85" t="s">
        <v>64</v>
      </c>
      <c r="K85">
        <v>16</v>
      </c>
      <c r="L85">
        <f>IFERROR(HLOOKUP(TRIM(I85), FeeTable!$B$1:$H$2, 2, FALSE) * H85, 0)</f>
        <v>0</v>
      </c>
      <c r="M85" t="str">
        <f t="shared" si="1"/>
        <v>Standard</v>
      </c>
    </row>
    <row r="86" spans="1:13" x14ac:dyDescent="0.3">
      <c r="A86" t="s">
        <v>153</v>
      </c>
      <c r="B86">
        <v>284</v>
      </c>
      <c r="C86">
        <v>19</v>
      </c>
      <c r="D86" t="str">
        <f>IFERROR(VLOOKUP(C86, merchants!$A$2:$D$41, 2, FALSE), "Merchant not found")</f>
        <v>Merchant_019</v>
      </c>
      <c r="E86" t="str">
        <f>IFERROR(VLOOKUP(C86, merchants!$A$2:$D$41, 3, FALSE), "Merchant not found")</f>
        <v>grocery</v>
      </c>
      <c r="F86" t="str">
        <f>IFERROR(VLOOKUP(C86, merchants!$A$2:$D$41, 4, FALSE), "Merchant not found")</f>
        <v>North</v>
      </c>
      <c r="G86" s="1">
        <v>46031.043749999997</v>
      </c>
      <c r="H86">
        <v>99</v>
      </c>
      <c r="I86" t="s">
        <v>66</v>
      </c>
      <c r="J86" t="s">
        <v>64</v>
      </c>
      <c r="K86">
        <v>89</v>
      </c>
      <c r="L86">
        <f>IFERROR(HLOOKUP(TRIM(I86), FeeTable!$B$1:$H$2, 2, FALSE) * H86, 0)</f>
        <v>0</v>
      </c>
      <c r="M86" t="str">
        <f t="shared" si="1"/>
        <v>Standard</v>
      </c>
    </row>
    <row r="87" spans="1:13" x14ac:dyDescent="0.3">
      <c r="A87" t="s">
        <v>154</v>
      </c>
      <c r="B87">
        <v>252</v>
      </c>
      <c r="C87">
        <v>7</v>
      </c>
      <c r="D87" t="str">
        <f>IFERROR(VLOOKUP(C87, merchants!$A$2:$D$41, 2, FALSE), "Merchant not found")</f>
        <v>Merchant_007</v>
      </c>
      <c r="E87" t="str">
        <f>IFERROR(VLOOKUP(C87, merchants!$A$2:$D$41, 3, FALSE), "Merchant not found")</f>
        <v>food_delivery</v>
      </c>
      <c r="F87" t="str">
        <f>IFERROR(VLOOKUP(C87, merchants!$A$2:$D$41, 4, FALSE), "Merchant not found")</f>
        <v>East</v>
      </c>
      <c r="G87" s="1">
        <v>46027.871527777781</v>
      </c>
      <c r="H87">
        <v>2999</v>
      </c>
      <c r="I87" t="s">
        <v>63</v>
      </c>
      <c r="J87" t="s">
        <v>64</v>
      </c>
      <c r="K87">
        <v>1</v>
      </c>
      <c r="L87">
        <f>IFERROR(HLOOKUP(TRIM(I87), FeeTable!$B$1:$H$2, 2, FALSE) * H87, 0)</f>
        <v>32.988999999999997</v>
      </c>
      <c r="M87" t="str">
        <f t="shared" si="1"/>
        <v>Standard</v>
      </c>
    </row>
    <row r="88" spans="1:13" x14ac:dyDescent="0.3">
      <c r="A88" t="s">
        <v>155</v>
      </c>
      <c r="B88">
        <v>246</v>
      </c>
      <c r="C88">
        <v>29</v>
      </c>
      <c r="D88" t="str">
        <f>IFERROR(VLOOKUP(C88, merchants!$A$2:$D$41, 2, FALSE), "Merchant not found")</f>
        <v>Merchant_029</v>
      </c>
      <c r="E88" t="str">
        <f>IFERROR(VLOOKUP(C88, merchants!$A$2:$D$41, 3, FALSE), "Merchant not found")</f>
        <v>ecommerce</v>
      </c>
      <c r="F88" t="str">
        <f>IFERROR(VLOOKUP(C88, merchants!$A$2:$D$41, 4, FALSE), "Merchant not found")</f>
        <v>North</v>
      </c>
      <c r="G88" s="1">
        <v>46041.395833333336</v>
      </c>
      <c r="H88">
        <v>49</v>
      </c>
      <c r="I88" t="s">
        <v>63</v>
      </c>
      <c r="J88" t="s">
        <v>64</v>
      </c>
      <c r="K88">
        <v>43</v>
      </c>
      <c r="L88">
        <f>IFERROR(HLOOKUP(TRIM(I88), FeeTable!$B$1:$H$2, 2, FALSE) * H88, 0)</f>
        <v>0.53899999999999992</v>
      </c>
      <c r="M88" t="str">
        <f t="shared" si="1"/>
        <v>Standard</v>
      </c>
    </row>
    <row r="89" spans="1:13" x14ac:dyDescent="0.3">
      <c r="A89" t="s">
        <v>156</v>
      </c>
      <c r="B89">
        <v>245</v>
      </c>
      <c r="C89">
        <v>8</v>
      </c>
      <c r="D89" t="str">
        <f>IFERROR(VLOOKUP(C89, merchants!$A$2:$D$41, 2, FALSE), "Merchant not found")</f>
        <v>Merchant_008</v>
      </c>
      <c r="E89" t="str">
        <f>IFERROR(VLOOKUP(C89, merchants!$A$2:$D$41, 3, FALSE), "Merchant not found")</f>
        <v>food_delivery</v>
      </c>
      <c r="F89" t="str">
        <f>IFERROR(VLOOKUP(C89, merchants!$A$2:$D$41, 4, FALSE), "Merchant not found")</f>
        <v>North</v>
      </c>
      <c r="G89" s="1">
        <v>46028.052777777775</v>
      </c>
      <c r="H89">
        <v>49</v>
      </c>
      <c r="I89" t="s">
        <v>66</v>
      </c>
      <c r="J89" t="s">
        <v>92</v>
      </c>
      <c r="K89">
        <v>8</v>
      </c>
      <c r="L89">
        <f>IFERROR(HLOOKUP(TRIM(I89), FeeTable!$B$1:$H$2, 2, FALSE) * H89, 0)</f>
        <v>0</v>
      </c>
      <c r="M89" t="str">
        <f t="shared" si="1"/>
        <v>Standard</v>
      </c>
    </row>
    <row r="90" spans="1:13" x14ac:dyDescent="0.3">
      <c r="A90" t="s">
        <v>157</v>
      </c>
      <c r="B90">
        <v>296</v>
      </c>
      <c r="C90">
        <v>4</v>
      </c>
      <c r="D90" t="str">
        <f>IFERROR(VLOOKUP(C90, merchants!$A$2:$D$41, 2, FALSE), "Merchant not found")</f>
        <v>Merchant_004</v>
      </c>
      <c r="E90" t="str">
        <f>IFERROR(VLOOKUP(C90, merchants!$A$2:$D$41, 3, FALSE), "Merchant not found")</f>
        <v>ecommerce</v>
      </c>
      <c r="F90" t="str">
        <f>IFERROR(VLOOKUP(C90, merchants!$A$2:$D$41, 4, FALSE), "Merchant not found")</f>
        <v>East</v>
      </c>
      <c r="G90" s="1">
        <v>46035.62777777778</v>
      </c>
      <c r="H90">
        <v>799</v>
      </c>
      <c r="I90" t="s">
        <v>63</v>
      </c>
      <c r="J90" t="s">
        <v>64</v>
      </c>
      <c r="K90">
        <v>19</v>
      </c>
      <c r="L90">
        <f>IFERROR(HLOOKUP(TRIM(I90), FeeTable!$B$1:$H$2, 2, FALSE) * H90, 0)</f>
        <v>8.7889999999999997</v>
      </c>
      <c r="M90" t="str">
        <f t="shared" si="1"/>
        <v>Standard</v>
      </c>
    </row>
    <row r="91" spans="1:13" x14ac:dyDescent="0.3">
      <c r="A91" t="s">
        <v>158</v>
      </c>
      <c r="B91">
        <v>44</v>
      </c>
      <c r="C91">
        <v>16</v>
      </c>
      <c r="D91" t="str">
        <f>IFERROR(VLOOKUP(C91, merchants!$A$2:$D$41, 2, FALSE), "Merchant not found")</f>
        <v>Merchant_016</v>
      </c>
      <c r="E91" t="str">
        <f>IFERROR(VLOOKUP(C91, merchants!$A$2:$D$41, 3, FALSE), "Merchant not found")</f>
        <v>bill_payment</v>
      </c>
      <c r="F91" t="str">
        <f>IFERROR(VLOOKUP(C91, merchants!$A$2:$D$41, 4, FALSE), "Merchant not found")</f>
        <v>West</v>
      </c>
      <c r="G91" s="1">
        <v>46027.763194444444</v>
      </c>
      <c r="H91">
        <v>149</v>
      </c>
      <c r="I91" t="s">
        <v>66</v>
      </c>
      <c r="J91" t="s">
        <v>64</v>
      </c>
      <c r="K91">
        <v>15</v>
      </c>
      <c r="L91">
        <f>IFERROR(HLOOKUP(TRIM(I91), FeeTable!$B$1:$H$2, 2, FALSE) * H91, 0)</f>
        <v>0</v>
      </c>
      <c r="M91" t="str">
        <f t="shared" si="1"/>
        <v>Standard</v>
      </c>
    </row>
    <row r="92" spans="1:13" x14ac:dyDescent="0.3">
      <c r="A92" t="s">
        <v>159</v>
      </c>
      <c r="B92">
        <v>306</v>
      </c>
      <c r="C92">
        <v>40</v>
      </c>
      <c r="D92" t="str">
        <f>IFERROR(VLOOKUP(C92, merchants!$A$2:$D$41, 2, FALSE), "Merchant not found")</f>
        <v>Merchant_040</v>
      </c>
      <c r="E92" t="str">
        <f>IFERROR(VLOOKUP(C92, merchants!$A$2:$D$41, 3, FALSE), "Merchant not found")</f>
        <v>entertainment</v>
      </c>
      <c r="F92" t="str">
        <f>IFERROR(VLOOKUP(C92, merchants!$A$2:$D$41, 4, FALSE), "Merchant not found")</f>
        <v>South</v>
      </c>
      <c r="G92" s="1">
        <v>46040.568055555559</v>
      </c>
      <c r="H92">
        <v>799</v>
      </c>
      <c r="I92" t="s">
        <v>78</v>
      </c>
      <c r="J92" t="s">
        <v>64</v>
      </c>
      <c r="K92">
        <v>28</v>
      </c>
      <c r="L92">
        <f>IFERROR(HLOOKUP(TRIM(I92), FeeTable!$B$1:$H$2, 2, FALSE) * H92, 0)</f>
        <v>14.382</v>
      </c>
      <c r="M92" t="str">
        <f t="shared" si="1"/>
        <v>Standard</v>
      </c>
    </row>
    <row r="93" spans="1:13" x14ac:dyDescent="0.3">
      <c r="A93" t="s">
        <v>160</v>
      </c>
      <c r="B93">
        <v>231</v>
      </c>
      <c r="C93">
        <v>29</v>
      </c>
      <c r="D93" t="str">
        <f>IFERROR(VLOOKUP(C93, merchants!$A$2:$D$41, 2, FALSE), "Merchant not found")</f>
        <v>Merchant_029</v>
      </c>
      <c r="E93" t="str">
        <f>IFERROR(VLOOKUP(C93, merchants!$A$2:$D$41, 3, FALSE), "Merchant not found")</f>
        <v>ecommerce</v>
      </c>
      <c r="F93" t="str">
        <f>IFERROR(VLOOKUP(C93, merchants!$A$2:$D$41, 4, FALSE), "Merchant not found")</f>
        <v>North</v>
      </c>
      <c r="G93" s="1">
        <v>46047.683333333334</v>
      </c>
      <c r="H93">
        <v>299</v>
      </c>
      <c r="I93" t="s">
        <v>66</v>
      </c>
      <c r="J93" t="s">
        <v>64</v>
      </c>
      <c r="K93">
        <v>38</v>
      </c>
      <c r="L93">
        <f>IFERROR(HLOOKUP(TRIM(I93), FeeTable!$B$1:$H$2, 2, FALSE) * H93, 0)</f>
        <v>0</v>
      </c>
      <c r="M93" t="str">
        <f t="shared" si="1"/>
        <v>Standard</v>
      </c>
    </row>
    <row r="94" spans="1:13" x14ac:dyDescent="0.3">
      <c r="A94" t="s">
        <v>161</v>
      </c>
      <c r="B94">
        <v>157</v>
      </c>
      <c r="C94">
        <v>37</v>
      </c>
      <c r="D94" t="str">
        <f>IFERROR(VLOOKUP(C94, merchants!$A$2:$D$41, 2, FALSE), "Merchant not found")</f>
        <v>Merchant_037</v>
      </c>
      <c r="E94" t="str">
        <f>IFERROR(VLOOKUP(C94, merchants!$A$2:$D$41, 3, FALSE), "Merchant not found")</f>
        <v>entertainment</v>
      </c>
      <c r="F94" t="str">
        <f>IFERROR(VLOOKUP(C94, merchants!$A$2:$D$41, 4, FALSE), "Merchant not found")</f>
        <v>South</v>
      </c>
      <c r="G94" s="1">
        <v>46050.768750000003</v>
      </c>
      <c r="H94">
        <v>499</v>
      </c>
      <c r="I94" t="s">
        <v>63</v>
      </c>
      <c r="J94" t="s">
        <v>64</v>
      </c>
      <c r="K94">
        <v>79</v>
      </c>
      <c r="L94">
        <f>IFERROR(HLOOKUP(TRIM(I94), FeeTable!$B$1:$H$2, 2, FALSE) * H94, 0)</f>
        <v>5.4889999999999999</v>
      </c>
      <c r="M94" t="str">
        <f t="shared" si="1"/>
        <v>Standard</v>
      </c>
    </row>
    <row r="95" spans="1:13" x14ac:dyDescent="0.3">
      <c r="A95" t="s">
        <v>162</v>
      </c>
      <c r="B95">
        <v>51</v>
      </c>
      <c r="C95">
        <v>14</v>
      </c>
      <c r="D95" t="str">
        <f>IFERROR(VLOOKUP(C95, merchants!$A$2:$D$41, 2, FALSE), "Merchant not found")</f>
        <v>Merchant_014</v>
      </c>
      <c r="E95" t="str">
        <f>IFERROR(VLOOKUP(C95, merchants!$A$2:$D$41, 3, FALSE), "Merchant not found")</f>
        <v>grocery</v>
      </c>
      <c r="F95" t="str">
        <f>IFERROR(VLOOKUP(C95, merchants!$A$2:$D$41, 4, FALSE), "Merchant not found")</f>
        <v>East</v>
      </c>
      <c r="G95" s="1">
        <v>46024.824305555558</v>
      </c>
      <c r="H95">
        <v>1499</v>
      </c>
      <c r="I95" t="s">
        <v>66</v>
      </c>
      <c r="J95" t="s">
        <v>64</v>
      </c>
      <c r="K95">
        <v>80</v>
      </c>
      <c r="L95">
        <f>IFERROR(HLOOKUP(TRIM(I95), FeeTable!$B$1:$H$2, 2, FALSE) * H95, 0)</f>
        <v>0</v>
      </c>
      <c r="M95" t="str">
        <f t="shared" si="1"/>
        <v>Standard</v>
      </c>
    </row>
    <row r="96" spans="1:13" x14ac:dyDescent="0.3">
      <c r="A96" t="s">
        <v>163</v>
      </c>
      <c r="B96">
        <v>42</v>
      </c>
      <c r="C96">
        <v>11</v>
      </c>
      <c r="D96" t="str">
        <f>IFERROR(VLOOKUP(C96, merchants!$A$2:$D$41, 2, FALSE), "Merchant not found")</f>
        <v>Merchant_011</v>
      </c>
      <c r="E96" t="str">
        <f>IFERROR(VLOOKUP(C96, merchants!$A$2:$D$41, 3, FALSE), "Merchant not found")</f>
        <v>ecommerce</v>
      </c>
      <c r="F96" t="str">
        <f>IFERROR(VLOOKUP(C96, merchants!$A$2:$D$41, 4, FALSE), "Merchant not found")</f>
        <v>North</v>
      </c>
      <c r="G96" s="1">
        <v>46029.362500000003</v>
      </c>
      <c r="H96">
        <v>49</v>
      </c>
      <c r="I96" t="s">
        <v>63</v>
      </c>
      <c r="J96" t="s">
        <v>64</v>
      </c>
      <c r="K96">
        <v>30</v>
      </c>
      <c r="L96">
        <f>IFERROR(HLOOKUP(TRIM(I96), FeeTable!$B$1:$H$2, 2, FALSE) * H96, 0)</f>
        <v>0.53899999999999992</v>
      </c>
      <c r="M96" t="str">
        <f t="shared" si="1"/>
        <v>Standard</v>
      </c>
    </row>
    <row r="97" spans="1:13" x14ac:dyDescent="0.3">
      <c r="A97" t="s">
        <v>164</v>
      </c>
      <c r="B97">
        <v>81</v>
      </c>
      <c r="C97">
        <v>1</v>
      </c>
      <c r="D97" t="str">
        <f>IFERROR(VLOOKUP(C97, merchants!$A$2:$D$41, 2, FALSE), "Merchant not found")</f>
        <v>Merchant_001</v>
      </c>
      <c r="E97" t="str">
        <f>IFERROR(VLOOKUP(C97, merchants!$A$2:$D$41, 3, FALSE), "Merchant not found")</f>
        <v>ecommerce</v>
      </c>
      <c r="F97" t="str">
        <f>IFERROR(VLOOKUP(C97, merchants!$A$2:$D$41, 4, FALSE), "Merchant not found")</f>
        <v>South</v>
      </c>
      <c r="G97" s="1">
        <v>46028.711111111108</v>
      </c>
      <c r="H97">
        <v>149</v>
      </c>
      <c r="I97" t="s">
        <v>66</v>
      </c>
      <c r="J97" t="s">
        <v>64</v>
      </c>
      <c r="K97">
        <v>52</v>
      </c>
      <c r="L97">
        <f>IFERROR(HLOOKUP(TRIM(I97), FeeTable!$B$1:$H$2, 2, FALSE) * H97, 0)</f>
        <v>0</v>
      </c>
      <c r="M97" t="str">
        <f t="shared" si="1"/>
        <v>Standard</v>
      </c>
    </row>
    <row r="98" spans="1:13" x14ac:dyDescent="0.3">
      <c r="A98" t="s">
        <v>165</v>
      </c>
      <c r="B98">
        <v>241</v>
      </c>
      <c r="C98">
        <v>19</v>
      </c>
      <c r="D98" t="str">
        <f>IFERROR(VLOOKUP(C98, merchants!$A$2:$D$41, 2, FALSE), "Merchant not found")</f>
        <v>Merchant_019</v>
      </c>
      <c r="E98" t="str">
        <f>IFERROR(VLOOKUP(C98, merchants!$A$2:$D$41, 3, FALSE), "Merchant not found")</f>
        <v>grocery</v>
      </c>
      <c r="F98" t="str">
        <f>IFERROR(VLOOKUP(C98, merchants!$A$2:$D$41, 4, FALSE), "Merchant not found")</f>
        <v>North</v>
      </c>
      <c r="G98" s="1">
        <v>46037.943055555559</v>
      </c>
      <c r="H98">
        <v>299</v>
      </c>
      <c r="I98" t="s">
        <v>66</v>
      </c>
      <c r="J98" t="s">
        <v>64</v>
      </c>
      <c r="K98">
        <v>4</v>
      </c>
      <c r="L98">
        <f>IFERROR(HLOOKUP(TRIM(I98), FeeTable!$B$1:$H$2, 2, FALSE) * H98, 0)</f>
        <v>0</v>
      </c>
      <c r="M98" t="str">
        <f t="shared" si="1"/>
        <v>Standard</v>
      </c>
    </row>
    <row r="99" spans="1:13" x14ac:dyDescent="0.3">
      <c r="A99" t="s">
        <v>166</v>
      </c>
      <c r="B99">
        <v>145</v>
      </c>
      <c r="C99">
        <v>30</v>
      </c>
      <c r="D99" t="str">
        <f>IFERROR(VLOOKUP(C99, merchants!$A$2:$D$41, 2, FALSE), "Merchant not found")</f>
        <v>Merchant_030</v>
      </c>
      <c r="E99" t="str">
        <f>IFERROR(VLOOKUP(C99, merchants!$A$2:$D$41, 3, FALSE), "Merchant not found")</f>
        <v>travel</v>
      </c>
      <c r="F99" t="str">
        <f>IFERROR(VLOOKUP(C99, merchants!$A$2:$D$41, 4, FALSE), "Merchant not found")</f>
        <v>West</v>
      </c>
      <c r="G99" s="1">
        <v>46030.40625</v>
      </c>
      <c r="H99">
        <v>799</v>
      </c>
      <c r="I99" t="s">
        <v>66</v>
      </c>
      <c r="J99" t="s">
        <v>64</v>
      </c>
      <c r="K99">
        <v>9</v>
      </c>
      <c r="L99">
        <f>IFERROR(HLOOKUP(TRIM(I99), FeeTable!$B$1:$H$2, 2, FALSE) * H99, 0)</f>
        <v>0</v>
      </c>
      <c r="M99" t="str">
        <f t="shared" si="1"/>
        <v>Standard</v>
      </c>
    </row>
    <row r="100" spans="1:13" x14ac:dyDescent="0.3">
      <c r="A100" t="s">
        <v>167</v>
      </c>
      <c r="B100">
        <v>136</v>
      </c>
      <c r="C100">
        <v>38</v>
      </c>
      <c r="D100" t="str">
        <f>IFERROR(VLOOKUP(C100, merchants!$A$2:$D$41, 2, FALSE), "Merchant not found")</f>
        <v>Merchant_038</v>
      </c>
      <c r="E100" t="str">
        <f>IFERROR(VLOOKUP(C100, merchants!$A$2:$D$41, 3, FALSE), "Merchant not found")</f>
        <v>grocery</v>
      </c>
      <c r="F100" t="str">
        <f>IFERROR(VLOOKUP(C100, merchants!$A$2:$D$41, 4, FALSE), "Merchant not found")</f>
        <v>East</v>
      </c>
      <c r="G100" s="1">
        <v>46044.332638888889</v>
      </c>
      <c r="H100">
        <v>299</v>
      </c>
      <c r="I100" t="s">
        <v>78</v>
      </c>
      <c r="J100" t="s">
        <v>64</v>
      </c>
      <c r="K100">
        <v>84</v>
      </c>
      <c r="L100">
        <f>IFERROR(HLOOKUP(TRIM(I100), FeeTable!$B$1:$H$2, 2, FALSE) * H100, 0)</f>
        <v>5.3819999999999997</v>
      </c>
      <c r="M100" t="str">
        <f t="shared" si="1"/>
        <v>Standard</v>
      </c>
    </row>
    <row r="101" spans="1:13" x14ac:dyDescent="0.3">
      <c r="A101" t="s">
        <v>168</v>
      </c>
      <c r="B101">
        <v>59</v>
      </c>
      <c r="C101">
        <v>35</v>
      </c>
      <c r="D101" t="str">
        <f>IFERROR(VLOOKUP(C101, merchants!$A$2:$D$41, 2, FALSE), "Merchant not found")</f>
        <v>Merchant_035</v>
      </c>
      <c r="E101" t="str">
        <f>IFERROR(VLOOKUP(C101, merchants!$A$2:$D$41, 3, FALSE), "Merchant not found")</f>
        <v>recharge</v>
      </c>
      <c r="F101" t="str">
        <f>IFERROR(VLOOKUP(C101, merchants!$A$2:$D$41, 4, FALSE), "Merchant not found")</f>
        <v>East</v>
      </c>
      <c r="G101" s="1">
        <v>46048.268750000003</v>
      </c>
      <c r="H101">
        <v>499</v>
      </c>
      <c r="I101" t="s">
        <v>66</v>
      </c>
      <c r="J101" t="s">
        <v>64</v>
      </c>
      <c r="K101">
        <v>28</v>
      </c>
      <c r="L101">
        <f>IFERROR(HLOOKUP(TRIM(I101), FeeTable!$B$1:$H$2, 2, FALSE) * H101, 0)</f>
        <v>0</v>
      </c>
      <c r="M101" t="str">
        <f t="shared" si="1"/>
        <v>Standard</v>
      </c>
    </row>
    <row r="102" spans="1:13" x14ac:dyDescent="0.3">
      <c r="A102" t="s">
        <v>169</v>
      </c>
      <c r="B102">
        <v>137</v>
      </c>
      <c r="C102">
        <v>10</v>
      </c>
      <c r="D102" t="str">
        <f>IFERROR(VLOOKUP(C102, merchants!$A$2:$D$41, 2, FALSE), "Merchant not found")</f>
        <v>Merchant_010</v>
      </c>
      <c r="E102" t="str">
        <f>IFERROR(VLOOKUP(C102, merchants!$A$2:$D$41, 3, FALSE), "Merchant not found")</f>
        <v>grocery</v>
      </c>
      <c r="F102" t="str">
        <f>IFERROR(VLOOKUP(C102, merchants!$A$2:$D$41, 4, FALSE), "Merchant not found")</f>
        <v>West</v>
      </c>
      <c r="G102" s="1">
        <v>46043.206944444442</v>
      </c>
      <c r="H102">
        <v>299</v>
      </c>
      <c r="I102" t="s">
        <v>66</v>
      </c>
      <c r="J102" t="s">
        <v>64</v>
      </c>
      <c r="K102">
        <v>9</v>
      </c>
      <c r="L102">
        <f>IFERROR(HLOOKUP(TRIM(I102), FeeTable!$B$1:$H$2, 2, FALSE) * H102, 0)</f>
        <v>0</v>
      </c>
      <c r="M102" t="str">
        <f t="shared" si="1"/>
        <v>Standard</v>
      </c>
    </row>
    <row r="103" spans="1:13" x14ac:dyDescent="0.3">
      <c r="A103" t="s">
        <v>170</v>
      </c>
      <c r="B103">
        <v>158</v>
      </c>
      <c r="C103">
        <v>39</v>
      </c>
      <c r="D103" t="str">
        <f>IFERROR(VLOOKUP(C103, merchants!$A$2:$D$41, 2, FALSE), "Merchant not found")</f>
        <v>Merchant_039</v>
      </c>
      <c r="E103" t="str">
        <f>IFERROR(VLOOKUP(C103, merchants!$A$2:$D$41, 3, FALSE), "Merchant not found")</f>
        <v>entertainment</v>
      </c>
      <c r="F103" t="str">
        <f>IFERROR(VLOOKUP(C103, merchants!$A$2:$D$41, 4, FALSE), "Merchant not found")</f>
        <v>North</v>
      </c>
      <c r="G103" s="1">
        <v>46024.243055555555</v>
      </c>
      <c r="H103">
        <v>499</v>
      </c>
      <c r="I103" t="s">
        <v>69</v>
      </c>
      <c r="J103" t="s">
        <v>64</v>
      </c>
      <c r="K103">
        <v>95</v>
      </c>
      <c r="L103">
        <f>IFERROR(HLOOKUP(TRIM(I103), FeeTable!$B$1:$H$2, 2, FALSE) * H103, 0)</f>
        <v>7.4849999999999994</v>
      </c>
      <c r="M103" t="str">
        <f t="shared" si="1"/>
        <v>Standard</v>
      </c>
    </row>
    <row r="104" spans="1:13" x14ac:dyDescent="0.3">
      <c r="A104" t="s">
        <v>171</v>
      </c>
      <c r="B104">
        <v>148</v>
      </c>
      <c r="C104">
        <v>29</v>
      </c>
      <c r="D104" t="str">
        <f>IFERROR(VLOOKUP(C104, merchants!$A$2:$D$41, 2, FALSE), "Merchant not found")</f>
        <v>Merchant_029</v>
      </c>
      <c r="E104" t="str">
        <f>IFERROR(VLOOKUP(C104, merchants!$A$2:$D$41, 3, FALSE), "Merchant not found")</f>
        <v>ecommerce</v>
      </c>
      <c r="F104" t="str">
        <f>IFERROR(VLOOKUP(C104, merchants!$A$2:$D$41, 4, FALSE), "Merchant not found")</f>
        <v>North</v>
      </c>
      <c r="G104" s="1">
        <v>46049.790277777778</v>
      </c>
      <c r="H104">
        <v>99</v>
      </c>
      <c r="I104" t="s">
        <v>78</v>
      </c>
      <c r="J104" t="s">
        <v>64</v>
      </c>
      <c r="K104">
        <v>15</v>
      </c>
      <c r="L104">
        <f>IFERROR(HLOOKUP(TRIM(I104), FeeTable!$B$1:$H$2, 2, FALSE) * H104, 0)</f>
        <v>1.7819999999999998</v>
      </c>
      <c r="M104" t="str">
        <f t="shared" si="1"/>
        <v>Standard</v>
      </c>
    </row>
    <row r="105" spans="1:13" x14ac:dyDescent="0.3">
      <c r="A105" t="s">
        <v>172</v>
      </c>
      <c r="B105">
        <v>207</v>
      </c>
      <c r="C105">
        <v>18</v>
      </c>
      <c r="D105" t="str">
        <f>IFERROR(VLOOKUP(C105, merchants!$A$2:$D$41, 2, FALSE), "Merchant not found")</f>
        <v>Merchant_018</v>
      </c>
      <c r="E105" t="str">
        <f>IFERROR(VLOOKUP(C105, merchants!$A$2:$D$41, 3, FALSE), "Merchant not found")</f>
        <v>grocery</v>
      </c>
      <c r="F105" t="str">
        <f>IFERROR(VLOOKUP(C105, merchants!$A$2:$D$41, 4, FALSE), "Merchant not found")</f>
        <v>West</v>
      </c>
      <c r="G105" s="1">
        <v>46037.929861111108</v>
      </c>
      <c r="H105">
        <v>149</v>
      </c>
      <c r="I105" t="s">
        <v>66</v>
      </c>
      <c r="J105" t="s">
        <v>64</v>
      </c>
      <c r="K105">
        <v>64</v>
      </c>
      <c r="L105">
        <f>IFERROR(HLOOKUP(TRIM(I105), FeeTable!$B$1:$H$2, 2, FALSE) * H105, 0)</f>
        <v>0</v>
      </c>
      <c r="M105" t="str">
        <f t="shared" si="1"/>
        <v>Standard</v>
      </c>
    </row>
    <row r="106" spans="1:13" x14ac:dyDescent="0.3">
      <c r="A106" t="s">
        <v>173</v>
      </c>
      <c r="B106">
        <v>42</v>
      </c>
      <c r="C106">
        <v>39</v>
      </c>
      <c r="D106" t="str">
        <f>IFERROR(VLOOKUP(C106, merchants!$A$2:$D$41, 2, FALSE), "Merchant not found")</f>
        <v>Merchant_039</v>
      </c>
      <c r="E106" t="str">
        <f>IFERROR(VLOOKUP(C106, merchants!$A$2:$D$41, 3, FALSE), "Merchant not found")</f>
        <v>entertainment</v>
      </c>
      <c r="F106" t="str">
        <f>IFERROR(VLOOKUP(C106, merchants!$A$2:$D$41, 4, FALSE), "Merchant not found")</f>
        <v>North</v>
      </c>
      <c r="G106" s="1">
        <v>46040.644444444442</v>
      </c>
      <c r="H106">
        <v>2999</v>
      </c>
      <c r="I106" t="s">
        <v>78</v>
      </c>
      <c r="J106" t="s">
        <v>64</v>
      </c>
      <c r="K106">
        <v>5</v>
      </c>
      <c r="L106">
        <f>IFERROR(HLOOKUP(TRIM(I106), FeeTable!$B$1:$H$2, 2, FALSE) * H106, 0)</f>
        <v>53.981999999999999</v>
      </c>
      <c r="M106" t="str">
        <f t="shared" si="1"/>
        <v>Standard</v>
      </c>
    </row>
    <row r="107" spans="1:13" x14ac:dyDescent="0.3">
      <c r="A107" t="s">
        <v>174</v>
      </c>
      <c r="B107">
        <v>166</v>
      </c>
      <c r="C107">
        <v>39</v>
      </c>
      <c r="D107" t="str">
        <f>IFERROR(VLOOKUP(C107, merchants!$A$2:$D$41, 2, FALSE), "Merchant not found")</f>
        <v>Merchant_039</v>
      </c>
      <c r="E107" t="str">
        <f>IFERROR(VLOOKUP(C107, merchants!$A$2:$D$41, 3, FALSE), "Merchant not found")</f>
        <v>entertainment</v>
      </c>
      <c r="F107" t="str">
        <f>IFERROR(VLOOKUP(C107, merchants!$A$2:$D$41, 4, FALSE), "Merchant not found")</f>
        <v>North</v>
      </c>
      <c r="G107" s="1">
        <v>46051.574305555558</v>
      </c>
      <c r="H107">
        <v>149</v>
      </c>
      <c r="I107" t="s">
        <v>66</v>
      </c>
      <c r="J107" t="s">
        <v>64</v>
      </c>
      <c r="K107">
        <v>32</v>
      </c>
      <c r="L107">
        <f>IFERROR(HLOOKUP(TRIM(I107), FeeTable!$B$1:$H$2, 2, FALSE) * H107, 0)</f>
        <v>0</v>
      </c>
      <c r="M107" t="str">
        <f t="shared" si="1"/>
        <v>Standard</v>
      </c>
    </row>
    <row r="108" spans="1:13" x14ac:dyDescent="0.3">
      <c r="A108" t="s">
        <v>175</v>
      </c>
      <c r="B108">
        <v>346</v>
      </c>
      <c r="C108">
        <v>37</v>
      </c>
      <c r="D108" t="str">
        <f>IFERROR(VLOOKUP(C108, merchants!$A$2:$D$41, 2, FALSE), "Merchant not found")</f>
        <v>Merchant_037</v>
      </c>
      <c r="E108" t="str">
        <f>IFERROR(VLOOKUP(C108, merchants!$A$2:$D$41, 3, FALSE), "Merchant not found")</f>
        <v>entertainment</v>
      </c>
      <c r="F108" t="str">
        <f>IFERROR(VLOOKUP(C108, merchants!$A$2:$D$41, 4, FALSE), "Merchant not found")</f>
        <v>South</v>
      </c>
      <c r="G108" s="1">
        <v>46023.093055555553</v>
      </c>
      <c r="H108">
        <v>99</v>
      </c>
      <c r="I108" t="s">
        <v>66</v>
      </c>
      <c r="J108" t="s">
        <v>64</v>
      </c>
      <c r="K108">
        <v>75</v>
      </c>
      <c r="L108">
        <f>IFERROR(HLOOKUP(TRIM(I108), FeeTable!$B$1:$H$2, 2, FALSE) * H108, 0)</f>
        <v>0</v>
      </c>
      <c r="M108" t="str">
        <f t="shared" si="1"/>
        <v>Standard</v>
      </c>
    </row>
    <row r="109" spans="1:13" x14ac:dyDescent="0.3">
      <c r="A109" t="s">
        <v>176</v>
      </c>
      <c r="B109">
        <v>138</v>
      </c>
      <c r="C109">
        <v>37</v>
      </c>
      <c r="D109" t="str">
        <f>IFERROR(VLOOKUP(C109, merchants!$A$2:$D$41, 2, FALSE), "Merchant not found")</f>
        <v>Merchant_037</v>
      </c>
      <c r="E109" t="str">
        <f>IFERROR(VLOOKUP(C109, merchants!$A$2:$D$41, 3, FALSE), "Merchant not found")</f>
        <v>entertainment</v>
      </c>
      <c r="F109" t="str">
        <f>IFERROR(VLOOKUP(C109, merchants!$A$2:$D$41, 4, FALSE), "Merchant not found")</f>
        <v>South</v>
      </c>
      <c r="G109" s="1">
        <v>46023.911111111112</v>
      </c>
      <c r="H109">
        <v>499</v>
      </c>
      <c r="I109" t="s">
        <v>66</v>
      </c>
      <c r="J109" t="s">
        <v>64</v>
      </c>
      <c r="K109">
        <v>5</v>
      </c>
      <c r="L109">
        <f>IFERROR(HLOOKUP(TRIM(I109), FeeTable!$B$1:$H$2, 2, FALSE) * H109, 0)</f>
        <v>0</v>
      </c>
      <c r="M109" t="str">
        <f t="shared" si="1"/>
        <v>Standard</v>
      </c>
    </row>
    <row r="110" spans="1:13" x14ac:dyDescent="0.3">
      <c r="A110" t="s">
        <v>177</v>
      </c>
      <c r="B110">
        <v>266</v>
      </c>
      <c r="C110">
        <v>29</v>
      </c>
      <c r="D110" t="str">
        <f>IFERROR(VLOOKUP(C110, merchants!$A$2:$D$41, 2, FALSE), "Merchant not found")</f>
        <v>Merchant_029</v>
      </c>
      <c r="E110" t="str">
        <f>IFERROR(VLOOKUP(C110, merchants!$A$2:$D$41, 3, FALSE), "Merchant not found")</f>
        <v>ecommerce</v>
      </c>
      <c r="F110" t="str">
        <f>IFERROR(VLOOKUP(C110, merchants!$A$2:$D$41, 4, FALSE), "Merchant not found")</f>
        <v>North</v>
      </c>
      <c r="G110" s="1">
        <v>46047.229166666664</v>
      </c>
      <c r="H110">
        <v>499</v>
      </c>
      <c r="I110" t="s">
        <v>63</v>
      </c>
      <c r="J110" t="s">
        <v>79</v>
      </c>
      <c r="K110">
        <v>35</v>
      </c>
      <c r="L110">
        <f>IFERROR(HLOOKUP(TRIM(I110), FeeTable!$B$1:$H$2, 2, FALSE) * H110, 0)</f>
        <v>5.4889999999999999</v>
      </c>
      <c r="M110" t="str">
        <f t="shared" si="1"/>
        <v>Standard</v>
      </c>
    </row>
    <row r="111" spans="1:13" x14ac:dyDescent="0.3">
      <c r="A111" t="s">
        <v>178</v>
      </c>
      <c r="B111">
        <v>326</v>
      </c>
      <c r="C111">
        <v>32</v>
      </c>
      <c r="D111" t="str">
        <f>IFERROR(VLOOKUP(C111, merchants!$A$2:$D$41, 2, FALSE), "Merchant not found")</f>
        <v>Merchant_032</v>
      </c>
      <c r="E111" t="str">
        <f>IFERROR(VLOOKUP(C111, merchants!$A$2:$D$41, 3, FALSE), "Merchant not found")</f>
        <v>food_delivery</v>
      </c>
      <c r="F111" t="str">
        <f>IFERROR(VLOOKUP(C111, merchants!$A$2:$D$41, 4, FALSE), "Merchant not found")</f>
        <v>West</v>
      </c>
      <c r="G111" s="1">
        <v>46028.768750000003</v>
      </c>
      <c r="H111">
        <v>149</v>
      </c>
      <c r="I111" t="s">
        <v>66</v>
      </c>
      <c r="J111" t="s">
        <v>64</v>
      </c>
      <c r="K111">
        <v>11</v>
      </c>
      <c r="L111">
        <f>IFERROR(HLOOKUP(TRIM(I111), FeeTable!$B$1:$H$2, 2, FALSE) * H111, 0)</f>
        <v>0</v>
      </c>
      <c r="M111" t="str">
        <f t="shared" si="1"/>
        <v>Standard</v>
      </c>
    </row>
    <row r="112" spans="1:13" x14ac:dyDescent="0.3">
      <c r="A112" t="s">
        <v>179</v>
      </c>
      <c r="B112">
        <v>171</v>
      </c>
      <c r="C112">
        <v>21</v>
      </c>
      <c r="D112" t="str">
        <f>IFERROR(VLOOKUP(C112, merchants!$A$2:$D$41, 2, FALSE), "Merchant not found")</f>
        <v>Merchant_021</v>
      </c>
      <c r="E112" t="str">
        <f>IFERROR(VLOOKUP(C112, merchants!$A$2:$D$41, 3, FALSE), "Merchant not found")</f>
        <v>food_delivery</v>
      </c>
      <c r="F112" t="str">
        <f>IFERROR(VLOOKUP(C112, merchants!$A$2:$D$41, 4, FALSE), "Merchant not found")</f>
        <v>East</v>
      </c>
      <c r="G112" s="1">
        <v>46038.476388888892</v>
      </c>
      <c r="H112">
        <v>799</v>
      </c>
      <c r="I112" t="s">
        <v>66</v>
      </c>
      <c r="J112" t="s">
        <v>64</v>
      </c>
      <c r="K112">
        <v>85</v>
      </c>
      <c r="L112">
        <f>IFERROR(HLOOKUP(TRIM(I112), FeeTable!$B$1:$H$2, 2, FALSE) * H112, 0)</f>
        <v>0</v>
      </c>
      <c r="M112" t="str">
        <f t="shared" si="1"/>
        <v>Standard</v>
      </c>
    </row>
    <row r="113" spans="1:13" x14ac:dyDescent="0.3">
      <c r="A113" t="s">
        <v>180</v>
      </c>
      <c r="B113">
        <v>211</v>
      </c>
      <c r="C113">
        <v>32</v>
      </c>
      <c r="D113" t="str">
        <f>IFERROR(VLOOKUP(C113, merchants!$A$2:$D$41, 2, FALSE), "Merchant not found")</f>
        <v>Merchant_032</v>
      </c>
      <c r="E113" t="str">
        <f>IFERROR(VLOOKUP(C113, merchants!$A$2:$D$41, 3, FALSE), "Merchant not found")</f>
        <v>food_delivery</v>
      </c>
      <c r="F113" t="str">
        <f>IFERROR(VLOOKUP(C113, merchants!$A$2:$D$41, 4, FALSE), "Merchant not found")</f>
        <v>West</v>
      </c>
      <c r="G113" s="1">
        <v>46026.222916666666</v>
      </c>
      <c r="H113">
        <v>49</v>
      </c>
      <c r="I113" t="s">
        <v>66</v>
      </c>
      <c r="J113" t="s">
        <v>64</v>
      </c>
      <c r="K113">
        <v>36</v>
      </c>
      <c r="L113">
        <f>IFERROR(HLOOKUP(TRIM(I113), FeeTable!$B$1:$H$2, 2, FALSE) * H113, 0)</f>
        <v>0</v>
      </c>
      <c r="M113" t="str">
        <f t="shared" si="1"/>
        <v>Standard</v>
      </c>
    </row>
    <row r="114" spans="1:13" x14ac:dyDescent="0.3">
      <c r="A114" t="s">
        <v>181</v>
      </c>
      <c r="B114">
        <v>282</v>
      </c>
      <c r="C114">
        <v>3</v>
      </c>
      <c r="D114" t="str">
        <f>IFERROR(VLOOKUP(C114, merchants!$A$2:$D$41, 2, FALSE), "Merchant not found")</f>
        <v>Merchant_003</v>
      </c>
      <c r="E114" t="str">
        <f>IFERROR(VLOOKUP(C114, merchants!$A$2:$D$41, 3, FALSE), "Merchant not found")</f>
        <v>grocery</v>
      </c>
      <c r="F114" t="str">
        <f>IFERROR(VLOOKUP(C114, merchants!$A$2:$D$41, 4, FALSE), "Merchant not found")</f>
        <v>East</v>
      </c>
      <c r="G114" s="1">
        <v>46044.536111111112</v>
      </c>
      <c r="H114">
        <v>499</v>
      </c>
      <c r="I114" t="s">
        <v>66</v>
      </c>
      <c r="J114" t="s">
        <v>64</v>
      </c>
      <c r="K114">
        <v>58</v>
      </c>
      <c r="L114">
        <f>IFERROR(HLOOKUP(TRIM(I114), FeeTable!$B$1:$H$2, 2, FALSE) * H114, 0)</f>
        <v>0</v>
      </c>
      <c r="M114" t="str">
        <f t="shared" si="1"/>
        <v>Standard</v>
      </c>
    </row>
    <row r="115" spans="1:13" x14ac:dyDescent="0.3">
      <c r="A115" t="s">
        <v>182</v>
      </c>
      <c r="B115">
        <v>166</v>
      </c>
      <c r="C115">
        <v>8</v>
      </c>
      <c r="D115" t="str">
        <f>IFERROR(VLOOKUP(C115, merchants!$A$2:$D$41, 2, FALSE), "Merchant not found")</f>
        <v>Merchant_008</v>
      </c>
      <c r="E115" t="str">
        <f>IFERROR(VLOOKUP(C115, merchants!$A$2:$D$41, 3, FALSE), "Merchant not found")</f>
        <v>food_delivery</v>
      </c>
      <c r="F115" t="str">
        <f>IFERROR(VLOOKUP(C115, merchants!$A$2:$D$41, 4, FALSE), "Merchant not found")</f>
        <v>North</v>
      </c>
      <c r="G115" s="1">
        <v>46025.427777777775</v>
      </c>
      <c r="H115">
        <v>299</v>
      </c>
      <c r="I115" t="s">
        <v>66</v>
      </c>
      <c r="J115" t="s">
        <v>64</v>
      </c>
      <c r="K115">
        <v>98</v>
      </c>
      <c r="L115">
        <f>IFERROR(HLOOKUP(TRIM(I115), FeeTable!$B$1:$H$2, 2, FALSE) * H115, 0)</f>
        <v>0</v>
      </c>
      <c r="M115" t="str">
        <f t="shared" si="1"/>
        <v>Standard</v>
      </c>
    </row>
    <row r="116" spans="1:13" x14ac:dyDescent="0.3">
      <c r="A116" t="s">
        <v>183</v>
      </c>
      <c r="B116">
        <v>1</v>
      </c>
      <c r="C116">
        <v>35</v>
      </c>
      <c r="D116" t="str">
        <f>IFERROR(VLOOKUP(C116, merchants!$A$2:$D$41, 2, FALSE), "Merchant not found")</f>
        <v>Merchant_035</v>
      </c>
      <c r="E116" t="str">
        <f>IFERROR(VLOOKUP(C116, merchants!$A$2:$D$41, 3, FALSE), "Merchant not found")</f>
        <v>recharge</v>
      </c>
      <c r="F116" t="str">
        <f>IFERROR(VLOOKUP(C116, merchants!$A$2:$D$41, 4, FALSE), "Merchant not found")</f>
        <v>East</v>
      </c>
      <c r="G116" s="1">
        <v>46035.702777777777</v>
      </c>
      <c r="H116">
        <v>149</v>
      </c>
      <c r="I116" t="s">
        <v>66</v>
      </c>
      <c r="J116" t="s">
        <v>64</v>
      </c>
      <c r="K116">
        <v>59</v>
      </c>
      <c r="L116">
        <f>IFERROR(HLOOKUP(TRIM(I116), FeeTable!$B$1:$H$2, 2, FALSE) * H116, 0)</f>
        <v>0</v>
      </c>
      <c r="M116" t="str">
        <f t="shared" si="1"/>
        <v>Standard</v>
      </c>
    </row>
    <row r="117" spans="1:13" x14ac:dyDescent="0.3">
      <c r="A117" t="s">
        <v>184</v>
      </c>
      <c r="B117">
        <v>266</v>
      </c>
      <c r="C117">
        <v>24</v>
      </c>
      <c r="D117" t="str">
        <f>IFERROR(VLOOKUP(C117, merchants!$A$2:$D$41, 2, FALSE), "Merchant not found")</f>
        <v>Merchant_024</v>
      </c>
      <c r="E117" t="str">
        <f>IFERROR(VLOOKUP(C117, merchants!$A$2:$D$41, 3, FALSE), "Merchant not found")</f>
        <v>grocery</v>
      </c>
      <c r="F117" t="str">
        <f>IFERROR(VLOOKUP(C117, merchants!$A$2:$D$41, 4, FALSE), "Merchant not found")</f>
        <v>North</v>
      </c>
      <c r="G117" s="1">
        <v>46036.05</v>
      </c>
      <c r="H117">
        <v>499</v>
      </c>
      <c r="I117" t="s">
        <v>66</v>
      </c>
      <c r="J117" t="s">
        <v>64</v>
      </c>
      <c r="K117">
        <v>79</v>
      </c>
      <c r="L117">
        <f>IFERROR(HLOOKUP(TRIM(I117), FeeTable!$B$1:$H$2, 2, FALSE) * H117, 0)</f>
        <v>0</v>
      </c>
      <c r="M117" t="str">
        <f t="shared" si="1"/>
        <v>Standard</v>
      </c>
    </row>
    <row r="118" spans="1:13" x14ac:dyDescent="0.3">
      <c r="A118" t="s">
        <v>185</v>
      </c>
      <c r="B118">
        <v>227</v>
      </c>
      <c r="C118">
        <v>4</v>
      </c>
      <c r="D118" t="str">
        <f>IFERROR(VLOOKUP(C118, merchants!$A$2:$D$41, 2, FALSE), "Merchant not found")</f>
        <v>Merchant_004</v>
      </c>
      <c r="E118" t="str">
        <f>IFERROR(VLOOKUP(C118, merchants!$A$2:$D$41, 3, FALSE), "Merchant not found")</f>
        <v>ecommerce</v>
      </c>
      <c r="F118" t="str">
        <f>IFERROR(VLOOKUP(C118, merchants!$A$2:$D$41, 4, FALSE), "Merchant not found")</f>
        <v>East</v>
      </c>
      <c r="G118" s="1">
        <v>46047.652777777781</v>
      </c>
      <c r="H118">
        <v>499</v>
      </c>
      <c r="I118" t="s">
        <v>66</v>
      </c>
      <c r="J118" t="s">
        <v>64</v>
      </c>
      <c r="K118">
        <v>26</v>
      </c>
      <c r="L118">
        <f>IFERROR(HLOOKUP(TRIM(I118), FeeTable!$B$1:$H$2, 2, FALSE) * H118, 0)</f>
        <v>0</v>
      </c>
      <c r="M118" t="str">
        <f t="shared" si="1"/>
        <v>Standard</v>
      </c>
    </row>
    <row r="119" spans="1:13" x14ac:dyDescent="0.3">
      <c r="A119" t="s">
        <v>186</v>
      </c>
      <c r="B119">
        <v>148</v>
      </c>
      <c r="C119">
        <v>29</v>
      </c>
      <c r="D119" t="str">
        <f>IFERROR(VLOOKUP(C119, merchants!$A$2:$D$41, 2, FALSE), "Merchant not found")</f>
        <v>Merchant_029</v>
      </c>
      <c r="E119" t="str">
        <f>IFERROR(VLOOKUP(C119, merchants!$A$2:$D$41, 3, FALSE), "Merchant not found")</f>
        <v>ecommerce</v>
      </c>
      <c r="F119" t="str">
        <f>IFERROR(VLOOKUP(C119, merchants!$A$2:$D$41, 4, FALSE), "Merchant not found")</f>
        <v>North</v>
      </c>
      <c r="G119" s="1">
        <v>46031.713888888888</v>
      </c>
      <c r="H119">
        <v>499</v>
      </c>
      <c r="I119" t="s">
        <v>66</v>
      </c>
      <c r="J119" t="s">
        <v>64</v>
      </c>
      <c r="K119">
        <v>89</v>
      </c>
      <c r="L119">
        <f>IFERROR(HLOOKUP(TRIM(I119), FeeTable!$B$1:$H$2, 2, FALSE) * H119, 0)</f>
        <v>0</v>
      </c>
      <c r="M119" t="str">
        <f t="shared" si="1"/>
        <v>Standard</v>
      </c>
    </row>
    <row r="120" spans="1:13" x14ac:dyDescent="0.3">
      <c r="A120" t="s">
        <v>187</v>
      </c>
      <c r="B120">
        <v>323</v>
      </c>
      <c r="C120">
        <v>39</v>
      </c>
      <c r="D120" t="str">
        <f>IFERROR(VLOOKUP(C120, merchants!$A$2:$D$41, 2, FALSE), "Merchant not found")</f>
        <v>Merchant_039</v>
      </c>
      <c r="E120" t="str">
        <f>IFERROR(VLOOKUP(C120, merchants!$A$2:$D$41, 3, FALSE), "Merchant not found")</f>
        <v>entertainment</v>
      </c>
      <c r="F120" t="str">
        <f>IFERROR(VLOOKUP(C120, merchants!$A$2:$D$41, 4, FALSE), "Merchant not found")</f>
        <v>North</v>
      </c>
      <c r="G120" s="1">
        <v>46038.125694444447</v>
      </c>
      <c r="H120">
        <v>499</v>
      </c>
      <c r="I120" t="s">
        <v>66</v>
      </c>
      <c r="J120" t="s">
        <v>64</v>
      </c>
      <c r="K120">
        <v>30</v>
      </c>
      <c r="L120">
        <f>IFERROR(HLOOKUP(TRIM(I120), FeeTable!$B$1:$H$2, 2, FALSE) * H120, 0)</f>
        <v>0</v>
      </c>
      <c r="M120" t="str">
        <f t="shared" si="1"/>
        <v>Standard</v>
      </c>
    </row>
    <row r="121" spans="1:13" x14ac:dyDescent="0.3">
      <c r="A121" t="s">
        <v>188</v>
      </c>
      <c r="B121">
        <v>283</v>
      </c>
      <c r="C121">
        <v>1</v>
      </c>
      <c r="D121" t="str">
        <f>IFERROR(VLOOKUP(C121, merchants!$A$2:$D$41, 2, FALSE), "Merchant not found")</f>
        <v>Merchant_001</v>
      </c>
      <c r="E121" t="str">
        <f>IFERROR(VLOOKUP(C121, merchants!$A$2:$D$41, 3, FALSE), "Merchant not found")</f>
        <v>ecommerce</v>
      </c>
      <c r="F121" t="str">
        <f>IFERROR(VLOOKUP(C121, merchants!$A$2:$D$41, 4, FALSE), "Merchant not found")</f>
        <v>South</v>
      </c>
      <c r="G121" s="1">
        <v>46045.22152777778</v>
      </c>
      <c r="H121">
        <v>2999</v>
      </c>
      <c r="I121" t="s">
        <v>63</v>
      </c>
      <c r="J121" t="s">
        <v>64</v>
      </c>
      <c r="K121">
        <v>70</v>
      </c>
      <c r="L121">
        <f>IFERROR(HLOOKUP(TRIM(I121), FeeTable!$B$1:$H$2, 2, FALSE) * H121, 0)</f>
        <v>32.988999999999997</v>
      </c>
      <c r="M121" t="str">
        <f t="shared" si="1"/>
        <v>Standard</v>
      </c>
    </row>
    <row r="122" spans="1:13" x14ac:dyDescent="0.3">
      <c r="A122" t="s">
        <v>189</v>
      </c>
      <c r="B122">
        <v>59</v>
      </c>
      <c r="C122">
        <v>30</v>
      </c>
      <c r="D122" t="str">
        <f>IFERROR(VLOOKUP(C122, merchants!$A$2:$D$41, 2, FALSE), "Merchant not found")</f>
        <v>Merchant_030</v>
      </c>
      <c r="E122" t="str">
        <f>IFERROR(VLOOKUP(C122, merchants!$A$2:$D$41, 3, FALSE), "Merchant not found")</f>
        <v>travel</v>
      </c>
      <c r="F122" t="str">
        <f>IFERROR(VLOOKUP(C122, merchants!$A$2:$D$41, 4, FALSE), "Merchant not found")</f>
        <v>West</v>
      </c>
      <c r="G122" s="1">
        <v>46036.093055555553</v>
      </c>
      <c r="H122">
        <v>499</v>
      </c>
      <c r="I122" t="s">
        <v>66</v>
      </c>
      <c r="J122" t="s">
        <v>64</v>
      </c>
      <c r="K122">
        <v>15</v>
      </c>
      <c r="L122">
        <f>IFERROR(HLOOKUP(TRIM(I122), FeeTable!$B$1:$H$2, 2, FALSE) * H122, 0)</f>
        <v>0</v>
      </c>
      <c r="M122" t="str">
        <f t="shared" si="1"/>
        <v>Standard</v>
      </c>
    </row>
    <row r="123" spans="1:13" x14ac:dyDescent="0.3">
      <c r="A123" t="s">
        <v>190</v>
      </c>
      <c r="B123">
        <v>150</v>
      </c>
      <c r="C123">
        <v>33</v>
      </c>
      <c r="D123" t="str">
        <f>IFERROR(VLOOKUP(C123, merchants!$A$2:$D$41, 2, FALSE), "Merchant not found")</f>
        <v>Merchant_033</v>
      </c>
      <c r="E123" t="str">
        <f>IFERROR(VLOOKUP(C123, merchants!$A$2:$D$41, 3, FALSE), "Merchant not found")</f>
        <v>bill_payment</v>
      </c>
      <c r="F123" t="str">
        <f>IFERROR(VLOOKUP(C123, merchants!$A$2:$D$41, 4, FALSE), "Merchant not found")</f>
        <v>East</v>
      </c>
      <c r="G123" s="1">
        <v>46043.188194444447</v>
      </c>
      <c r="H123">
        <v>2999</v>
      </c>
      <c r="I123" t="s">
        <v>66</v>
      </c>
      <c r="J123" t="s">
        <v>64</v>
      </c>
      <c r="K123">
        <v>90</v>
      </c>
      <c r="L123">
        <f>IFERROR(HLOOKUP(TRIM(I123), FeeTable!$B$1:$H$2, 2, FALSE) * H123, 0)</f>
        <v>0</v>
      </c>
      <c r="M123" t="str">
        <f t="shared" si="1"/>
        <v>Standard</v>
      </c>
    </row>
    <row r="124" spans="1:13" x14ac:dyDescent="0.3">
      <c r="A124" t="s">
        <v>191</v>
      </c>
      <c r="B124">
        <v>248</v>
      </c>
      <c r="C124">
        <v>31</v>
      </c>
      <c r="D124" t="str">
        <f>IFERROR(VLOOKUP(C124, merchants!$A$2:$D$41, 2, FALSE), "Merchant not found")</f>
        <v>Merchant_031</v>
      </c>
      <c r="E124" t="str">
        <f>IFERROR(VLOOKUP(C124, merchants!$A$2:$D$41, 3, FALSE), "Merchant not found")</f>
        <v>bill_payment</v>
      </c>
      <c r="F124" t="str">
        <f>IFERROR(VLOOKUP(C124, merchants!$A$2:$D$41, 4, FALSE), "Merchant not found")</f>
        <v>East</v>
      </c>
      <c r="G124" s="1">
        <v>46031.578472222223</v>
      </c>
      <c r="H124">
        <v>1499</v>
      </c>
      <c r="I124" t="s">
        <v>66</v>
      </c>
      <c r="J124" t="s">
        <v>79</v>
      </c>
      <c r="K124">
        <v>31</v>
      </c>
      <c r="L124">
        <f>IFERROR(HLOOKUP(TRIM(I124), FeeTable!$B$1:$H$2, 2, FALSE) * H124, 0)</f>
        <v>0</v>
      </c>
      <c r="M124" t="str">
        <f t="shared" si="1"/>
        <v>Standard</v>
      </c>
    </row>
    <row r="125" spans="1:13" x14ac:dyDescent="0.3">
      <c r="A125" t="s">
        <v>192</v>
      </c>
      <c r="B125">
        <v>197</v>
      </c>
      <c r="C125">
        <v>13</v>
      </c>
      <c r="D125" t="str">
        <f>IFERROR(VLOOKUP(C125, merchants!$A$2:$D$41, 2, FALSE), "Merchant not found")</f>
        <v>Merchant_013</v>
      </c>
      <c r="E125" t="str">
        <f>IFERROR(VLOOKUP(C125, merchants!$A$2:$D$41, 3, FALSE), "Merchant not found")</f>
        <v>travel</v>
      </c>
      <c r="F125" t="str">
        <f>IFERROR(VLOOKUP(C125, merchants!$A$2:$D$41, 4, FALSE), "Merchant not found")</f>
        <v>East</v>
      </c>
      <c r="G125" s="1">
        <v>46037.714583333334</v>
      </c>
      <c r="H125">
        <v>49</v>
      </c>
      <c r="I125" t="s">
        <v>66</v>
      </c>
      <c r="J125" t="s">
        <v>64</v>
      </c>
      <c r="K125">
        <v>76</v>
      </c>
      <c r="L125">
        <f>IFERROR(HLOOKUP(TRIM(I125), FeeTable!$B$1:$H$2, 2, FALSE) * H125, 0)</f>
        <v>0</v>
      </c>
      <c r="M125" t="str">
        <f t="shared" si="1"/>
        <v>Standard</v>
      </c>
    </row>
    <row r="126" spans="1:13" x14ac:dyDescent="0.3">
      <c r="A126" t="s">
        <v>193</v>
      </c>
      <c r="B126">
        <v>70</v>
      </c>
      <c r="C126">
        <v>5</v>
      </c>
      <c r="D126" t="str">
        <f>IFERROR(VLOOKUP(C126, merchants!$A$2:$D$41, 2, FALSE), "Merchant not found")</f>
        <v>Merchant_005</v>
      </c>
      <c r="E126" t="str">
        <f>IFERROR(VLOOKUP(C126, merchants!$A$2:$D$41, 3, FALSE), "Merchant not found")</f>
        <v>recharge</v>
      </c>
      <c r="F126" t="str">
        <f>IFERROR(VLOOKUP(C126, merchants!$A$2:$D$41, 4, FALSE), "Merchant not found")</f>
        <v>South</v>
      </c>
      <c r="G126" s="1">
        <v>46039.99722222222</v>
      </c>
      <c r="H126">
        <v>499</v>
      </c>
      <c r="I126" t="s">
        <v>66</v>
      </c>
      <c r="J126" t="s">
        <v>64</v>
      </c>
      <c r="K126">
        <v>35</v>
      </c>
      <c r="L126">
        <f>IFERROR(HLOOKUP(TRIM(I126), FeeTable!$B$1:$H$2, 2, FALSE) * H126, 0)</f>
        <v>0</v>
      </c>
      <c r="M126" t="str">
        <f t="shared" si="1"/>
        <v>Standard</v>
      </c>
    </row>
    <row r="127" spans="1:13" x14ac:dyDescent="0.3">
      <c r="A127" t="s">
        <v>194</v>
      </c>
      <c r="B127">
        <v>260</v>
      </c>
      <c r="C127">
        <v>18</v>
      </c>
      <c r="D127" t="str">
        <f>IFERROR(VLOOKUP(C127, merchants!$A$2:$D$41, 2, FALSE), "Merchant not found")</f>
        <v>Merchant_018</v>
      </c>
      <c r="E127" t="str">
        <f>IFERROR(VLOOKUP(C127, merchants!$A$2:$D$41, 3, FALSE), "Merchant not found")</f>
        <v>grocery</v>
      </c>
      <c r="F127" t="str">
        <f>IFERROR(VLOOKUP(C127, merchants!$A$2:$D$41, 4, FALSE), "Merchant not found")</f>
        <v>West</v>
      </c>
      <c r="G127" s="1">
        <v>46047.556250000001</v>
      </c>
      <c r="H127">
        <v>1499</v>
      </c>
      <c r="I127" t="s">
        <v>66</v>
      </c>
      <c r="J127" t="s">
        <v>64</v>
      </c>
      <c r="K127">
        <v>0</v>
      </c>
      <c r="L127">
        <f>IFERROR(HLOOKUP(TRIM(I127), FeeTable!$B$1:$H$2, 2, FALSE) * H127, 0)</f>
        <v>0</v>
      </c>
      <c r="M127" t="str">
        <f t="shared" si="1"/>
        <v>Standard</v>
      </c>
    </row>
    <row r="128" spans="1:13" x14ac:dyDescent="0.3">
      <c r="A128" t="s">
        <v>195</v>
      </c>
      <c r="B128">
        <v>301</v>
      </c>
      <c r="C128">
        <v>38</v>
      </c>
      <c r="D128" t="str">
        <f>IFERROR(VLOOKUP(C128, merchants!$A$2:$D$41, 2, FALSE), "Merchant not found")</f>
        <v>Merchant_038</v>
      </c>
      <c r="E128" t="str">
        <f>IFERROR(VLOOKUP(C128, merchants!$A$2:$D$41, 3, FALSE), "Merchant not found")</f>
        <v>grocery</v>
      </c>
      <c r="F128" t="str">
        <f>IFERROR(VLOOKUP(C128, merchants!$A$2:$D$41, 4, FALSE), "Merchant not found")</f>
        <v>East</v>
      </c>
      <c r="G128" s="1">
        <v>46032.97152777778</v>
      </c>
      <c r="H128">
        <v>99</v>
      </c>
      <c r="I128" t="s">
        <v>66</v>
      </c>
      <c r="J128" t="s">
        <v>64</v>
      </c>
      <c r="K128">
        <v>84</v>
      </c>
      <c r="L128">
        <f>IFERROR(HLOOKUP(TRIM(I128), FeeTable!$B$1:$H$2, 2, FALSE) * H128, 0)</f>
        <v>0</v>
      </c>
      <c r="M128" t="str">
        <f t="shared" si="1"/>
        <v>Standard</v>
      </c>
    </row>
    <row r="129" spans="1:13" x14ac:dyDescent="0.3">
      <c r="A129" t="s">
        <v>196</v>
      </c>
      <c r="B129">
        <v>276</v>
      </c>
      <c r="C129">
        <v>31</v>
      </c>
      <c r="D129" t="str">
        <f>IFERROR(VLOOKUP(C129, merchants!$A$2:$D$41, 2, FALSE), "Merchant not found")</f>
        <v>Merchant_031</v>
      </c>
      <c r="E129" t="str">
        <f>IFERROR(VLOOKUP(C129, merchants!$A$2:$D$41, 3, FALSE), "Merchant not found")</f>
        <v>bill_payment</v>
      </c>
      <c r="F129" t="str">
        <f>IFERROR(VLOOKUP(C129, merchants!$A$2:$D$41, 4, FALSE), "Merchant not found")</f>
        <v>East</v>
      </c>
      <c r="G129" s="1">
        <v>46038.186111111114</v>
      </c>
      <c r="H129">
        <v>499</v>
      </c>
      <c r="I129" t="s">
        <v>78</v>
      </c>
      <c r="J129" t="s">
        <v>64</v>
      </c>
      <c r="K129">
        <v>44</v>
      </c>
      <c r="L129">
        <f>IFERROR(HLOOKUP(TRIM(I129), FeeTable!$B$1:$H$2, 2, FALSE) * H129, 0)</f>
        <v>8.9819999999999993</v>
      </c>
      <c r="M129" t="str">
        <f t="shared" si="1"/>
        <v>Standard</v>
      </c>
    </row>
    <row r="130" spans="1:13" x14ac:dyDescent="0.3">
      <c r="A130" t="s">
        <v>197</v>
      </c>
      <c r="B130">
        <v>279</v>
      </c>
      <c r="C130">
        <v>25</v>
      </c>
      <c r="D130" t="str">
        <f>IFERROR(VLOOKUP(C130, merchants!$A$2:$D$41, 2, FALSE), "Merchant not found")</f>
        <v>Merchant_025</v>
      </c>
      <c r="E130" t="str">
        <f>IFERROR(VLOOKUP(C130, merchants!$A$2:$D$41, 3, FALSE), "Merchant not found")</f>
        <v>travel</v>
      </c>
      <c r="F130" t="str">
        <f>IFERROR(VLOOKUP(C130, merchants!$A$2:$D$41, 4, FALSE), "Merchant not found")</f>
        <v>South</v>
      </c>
      <c r="G130" s="1">
        <v>46033.741666666669</v>
      </c>
      <c r="H130">
        <v>799</v>
      </c>
      <c r="I130" t="s">
        <v>66</v>
      </c>
      <c r="J130" t="s">
        <v>64</v>
      </c>
      <c r="K130">
        <v>58</v>
      </c>
      <c r="L130">
        <f>IFERROR(HLOOKUP(TRIM(I130), FeeTable!$B$1:$H$2, 2, FALSE) * H130, 0)</f>
        <v>0</v>
      </c>
      <c r="M130" t="str">
        <f t="shared" si="1"/>
        <v>Standard</v>
      </c>
    </row>
    <row r="131" spans="1:13" x14ac:dyDescent="0.3">
      <c r="A131" t="s">
        <v>198</v>
      </c>
      <c r="B131">
        <v>97</v>
      </c>
      <c r="C131">
        <v>16</v>
      </c>
      <c r="D131" t="str">
        <f>IFERROR(VLOOKUP(C131, merchants!$A$2:$D$41, 2, FALSE), "Merchant not found")</f>
        <v>Merchant_016</v>
      </c>
      <c r="E131" t="str">
        <f>IFERROR(VLOOKUP(C131, merchants!$A$2:$D$41, 3, FALSE), "Merchant not found")</f>
        <v>bill_payment</v>
      </c>
      <c r="F131" t="str">
        <f>IFERROR(VLOOKUP(C131, merchants!$A$2:$D$41, 4, FALSE), "Merchant not found")</f>
        <v>West</v>
      </c>
      <c r="G131" s="1">
        <v>46052.454861111109</v>
      </c>
      <c r="H131">
        <v>799</v>
      </c>
      <c r="I131" t="s">
        <v>78</v>
      </c>
      <c r="J131" t="s">
        <v>64</v>
      </c>
      <c r="K131">
        <v>73</v>
      </c>
      <c r="L131">
        <f>IFERROR(HLOOKUP(TRIM(I131), FeeTable!$B$1:$H$2, 2, FALSE) * H131, 0)</f>
        <v>14.382</v>
      </c>
      <c r="M131" t="str">
        <f t="shared" ref="M131:M194" si="2">IF(AND(H131 &gt; 5000, F131 &lt;&gt; "East"), "High-Value Merchant Day", "Standard")</f>
        <v>Standard</v>
      </c>
    </row>
    <row r="132" spans="1:13" x14ac:dyDescent="0.3">
      <c r="A132" t="s">
        <v>199</v>
      </c>
      <c r="B132">
        <v>211</v>
      </c>
      <c r="C132">
        <v>3</v>
      </c>
      <c r="D132" t="str">
        <f>IFERROR(VLOOKUP(C132, merchants!$A$2:$D$41, 2, FALSE), "Merchant not found")</f>
        <v>Merchant_003</v>
      </c>
      <c r="E132" t="str">
        <f>IFERROR(VLOOKUP(C132, merchants!$A$2:$D$41, 3, FALSE), "Merchant not found")</f>
        <v>grocery</v>
      </c>
      <c r="F132" t="str">
        <f>IFERROR(VLOOKUP(C132, merchants!$A$2:$D$41, 4, FALSE), "Merchant not found")</f>
        <v>East</v>
      </c>
      <c r="G132" s="1">
        <v>46035.32916666667</v>
      </c>
      <c r="H132">
        <v>149</v>
      </c>
      <c r="I132" t="s">
        <v>66</v>
      </c>
      <c r="J132" t="s">
        <v>92</v>
      </c>
      <c r="K132">
        <v>40</v>
      </c>
      <c r="L132">
        <f>IFERROR(HLOOKUP(TRIM(I132), FeeTable!$B$1:$H$2, 2, FALSE) * H132, 0)</f>
        <v>0</v>
      </c>
      <c r="M132" t="str">
        <f t="shared" si="2"/>
        <v>Standard</v>
      </c>
    </row>
    <row r="133" spans="1:13" x14ac:dyDescent="0.3">
      <c r="A133" t="s">
        <v>200</v>
      </c>
      <c r="B133">
        <v>196</v>
      </c>
      <c r="C133">
        <v>25</v>
      </c>
      <c r="D133" t="str">
        <f>IFERROR(VLOOKUP(C133, merchants!$A$2:$D$41, 2, FALSE), "Merchant not found")</f>
        <v>Merchant_025</v>
      </c>
      <c r="E133" t="str">
        <f>IFERROR(VLOOKUP(C133, merchants!$A$2:$D$41, 3, FALSE), "Merchant not found")</f>
        <v>travel</v>
      </c>
      <c r="F133" t="str">
        <f>IFERROR(VLOOKUP(C133, merchants!$A$2:$D$41, 4, FALSE), "Merchant not found")</f>
        <v>South</v>
      </c>
      <c r="G133" s="1">
        <v>46046.65625</v>
      </c>
      <c r="H133">
        <v>149</v>
      </c>
      <c r="I133" t="s">
        <v>69</v>
      </c>
      <c r="J133" t="s">
        <v>64</v>
      </c>
      <c r="K133">
        <v>84</v>
      </c>
      <c r="L133">
        <f>IFERROR(HLOOKUP(TRIM(I133), FeeTable!$B$1:$H$2, 2, FALSE) * H133, 0)</f>
        <v>2.2349999999999999</v>
      </c>
      <c r="M133" t="str">
        <f t="shared" si="2"/>
        <v>Standard</v>
      </c>
    </row>
    <row r="134" spans="1:13" x14ac:dyDescent="0.3">
      <c r="A134" t="s">
        <v>201</v>
      </c>
      <c r="B134">
        <v>254</v>
      </c>
      <c r="C134">
        <v>3</v>
      </c>
      <c r="D134" t="str">
        <f>IFERROR(VLOOKUP(C134, merchants!$A$2:$D$41, 2, FALSE), "Merchant not found")</f>
        <v>Merchant_003</v>
      </c>
      <c r="E134" t="str">
        <f>IFERROR(VLOOKUP(C134, merchants!$A$2:$D$41, 3, FALSE), "Merchant not found")</f>
        <v>grocery</v>
      </c>
      <c r="F134" t="str">
        <f>IFERROR(VLOOKUP(C134, merchants!$A$2:$D$41, 4, FALSE), "Merchant not found")</f>
        <v>East</v>
      </c>
      <c r="G134" s="1">
        <v>46048.839583333334</v>
      </c>
      <c r="H134">
        <v>149</v>
      </c>
      <c r="I134" t="s">
        <v>78</v>
      </c>
      <c r="J134" t="s">
        <v>64</v>
      </c>
      <c r="K134">
        <v>16</v>
      </c>
      <c r="L134">
        <f>IFERROR(HLOOKUP(TRIM(I134), FeeTable!$B$1:$H$2, 2, FALSE) * H134, 0)</f>
        <v>2.6819999999999999</v>
      </c>
      <c r="M134" t="str">
        <f t="shared" si="2"/>
        <v>Standard</v>
      </c>
    </row>
    <row r="135" spans="1:13" x14ac:dyDescent="0.3">
      <c r="A135" t="s">
        <v>202</v>
      </c>
      <c r="B135">
        <v>52</v>
      </c>
      <c r="C135">
        <v>29</v>
      </c>
      <c r="D135" t="str">
        <f>IFERROR(VLOOKUP(C135, merchants!$A$2:$D$41, 2, FALSE), "Merchant not found")</f>
        <v>Merchant_029</v>
      </c>
      <c r="E135" t="str">
        <f>IFERROR(VLOOKUP(C135, merchants!$A$2:$D$41, 3, FALSE), "Merchant not found")</f>
        <v>ecommerce</v>
      </c>
      <c r="F135" t="str">
        <f>IFERROR(VLOOKUP(C135, merchants!$A$2:$D$41, 4, FALSE), "Merchant not found")</f>
        <v>North</v>
      </c>
      <c r="G135" s="1">
        <v>46039.76458333333</v>
      </c>
      <c r="H135">
        <v>49</v>
      </c>
      <c r="I135" t="s">
        <v>69</v>
      </c>
      <c r="J135" t="s">
        <v>64</v>
      </c>
      <c r="K135">
        <v>12</v>
      </c>
      <c r="L135">
        <f>IFERROR(HLOOKUP(TRIM(I135), FeeTable!$B$1:$H$2, 2, FALSE) * H135, 0)</f>
        <v>0.73499999999999999</v>
      </c>
      <c r="M135" t="str">
        <f t="shared" si="2"/>
        <v>Standard</v>
      </c>
    </row>
    <row r="136" spans="1:13" x14ac:dyDescent="0.3">
      <c r="A136" t="s">
        <v>203</v>
      </c>
      <c r="B136">
        <v>74</v>
      </c>
      <c r="C136">
        <v>27</v>
      </c>
      <c r="D136" t="str">
        <f>IFERROR(VLOOKUP(C136, merchants!$A$2:$D$41, 2, FALSE), "Merchant not found")</f>
        <v>Merchant_027</v>
      </c>
      <c r="E136" t="str">
        <f>IFERROR(VLOOKUP(C136, merchants!$A$2:$D$41, 3, FALSE), "Merchant not found")</f>
        <v>ecommerce</v>
      </c>
      <c r="F136" t="str">
        <f>IFERROR(VLOOKUP(C136, merchants!$A$2:$D$41, 4, FALSE), "Merchant not found")</f>
        <v>North</v>
      </c>
      <c r="G136" s="1">
        <v>46039.583333333336</v>
      </c>
      <c r="H136">
        <v>799</v>
      </c>
      <c r="I136" t="s">
        <v>66</v>
      </c>
      <c r="J136" t="s">
        <v>64</v>
      </c>
      <c r="K136">
        <v>83</v>
      </c>
      <c r="L136">
        <f>IFERROR(HLOOKUP(TRIM(I136), FeeTable!$B$1:$H$2, 2, FALSE) * H136, 0)</f>
        <v>0</v>
      </c>
      <c r="M136" t="str">
        <f t="shared" si="2"/>
        <v>Standard</v>
      </c>
    </row>
    <row r="137" spans="1:13" x14ac:dyDescent="0.3">
      <c r="A137" t="s">
        <v>204</v>
      </c>
      <c r="B137">
        <v>136</v>
      </c>
      <c r="C137">
        <v>22</v>
      </c>
      <c r="D137" t="str">
        <f>IFERROR(VLOOKUP(C137, merchants!$A$2:$D$41, 2, FALSE), "Merchant not found")</f>
        <v>Merchant_022</v>
      </c>
      <c r="E137" t="str">
        <f>IFERROR(VLOOKUP(C137, merchants!$A$2:$D$41, 3, FALSE), "Merchant not found")</f>
        <v>travel</v>
      </c>
      <c r="F137" t="str">
        <f>IFERROR(VLOOKUP(C137, merchants!$A$2:$D$41, 4, FALSE), "Merchant not found")</f>
        <v>South</v>
      </c>
      <c r="G137" s="1">
        <v>46027.104166666664</v>
      </c>
      <c r="H137">
        <v>149</v>
      </c>
      <c r="I137" t="s">
        <v>66</v>
      </c>
      <c r="J137" t="s">
        <v>64</v>
      </c>
      <c r="K137">
        <v>79</v>
      </c>
      <c r="L137">
        <f>IFERROR(HLOOKUP(TRIM(I137), FeeTable!$B$1:$H$2, 2, FALSE) * H137, 0)</f>
        <v>0</v>
      </c>
      <c r="M137" t="str">
        <f t="shared" si="2"/>
        <v>Standard</v>
      </c>
    </row>
    <row r="138" spans="1:13" x14ac:dyDescent="0.3">
      <c r="A138" t="s">
        <v>205</v>
      </c>
      <c r="B138">
        <v>42</v>
      </c>
      <c r="C138">
        <v>22</v>
      </c>
      <c r="D138" t="str">
        <f>IFERROR(VLOOKUP(C138, merchants!$A$2:$D$41, 2, FALSE), "Merchant not found")</f>
        <v>Merchant_022</v>
      </c>
      <c r="E138" t="str">
        <f>IFERROR(VLOOKUP(C138, merchants!$A$2:$D$41, 3, FALSE), "Merchant not found")</f>
        <v>travel</v>
      </c>
      <c r="F138" t="str">
        <f>IFERROR(VLOOKUP(C138, merchants!$A$2:$D$41, 4, FALSE), "Merchant not found")</f>
        <v>South</v>
      </c>
      <c r="G138" s="1">
        <v>46045.52847222222</v>
      </c>
      <c r="H138">
        <v>49</v>
      </c>
      <c r="I138" t="s">
        <v>66</v>
      </c>
      <c r="J138" t="s">
        <v>64</v>
      </c>
      <c r="K138">
        <v>86</v>
      </c>
      <c r="L138">
        <f>IFERROR(HLOOKUP(TRIM(I138), FeeTable!$B$1:$H$2, 2, FALSE) * H138, 0)</f>
        <v>0</v>
      </c>
      <c r="M138" t="str">
        <f t="shared" si="2"/>
        <v>Standard</v>
      </c>
    </row>
    <row r="139" spans="1:13" x14ac:dyDescent="0.3">
      <c r="A139" t="s">
        <v>206</v>
      </c>
      <c r="B139">
        <v>163</v>
      </c>
      <c r="C139">
        <v>32</v>
      </c>
      <c r="D139" t="str">
        <f>IFERROR(VLOOKUP(C139, merchants!$A$2:$D$41, 2, FALSE), "Merchant not found")</f>
        <v>Merchant_032</v>
      </c>
      <c r="E139" t="str">
        <f>IFERROR(VLOOKUP(C139, merchants!$A$2:$D$41, 3, FALSE), "Merchant not found")</f>
        <v>food_delivery</v>
      </c>
      <c r="F139" t="str">
        <f>IFERROR(VLOOKUP(C139, merchants!$A$2:$D$41, 4, FALSE), "Merchant not found")</f>
        <v>West</v>
      </c>
      <c r="G139" s="1">
        <v>46050.724999999999</v>
      </c>
      <c r="H139">
        <v>2999</v>
      </c>
      <c r="I139" t="s">
        <v>63</v>
      </c>
      <c r="J139" t="s">
        <v>79</v>
      </c>
      <c r="K139">
        <v>69</v>
      </c>
      <c r="L139">
        <f>IFERROR(HLOOKUP(TRIM(I139), FeeTable!$B$1:$H$2, 2, FALSE) * H139, 0)</f>
        <v>32.988999999999997</v>
      </c>
      <c r="M139" t="str">
        <f t="shared" si="2"/>
        <v>Standard</v>
      </c>
    </row>
    <row r="140" spans="1:13" x14ac:dyDescent="0.3">
      <c r="A140" t="s">
        <v>207</v>
      </c>
      <c r="B140">
        <v>121</v>
      </c>
      <c r="C140">
        <v>19</v>
      </c>
      <c r="D140" t="str">
        <f>IFERROR(VLOOKUP(C140, merchants!$A$2:$D$41, 2, FALSE), "Merchant not found")</f>
        <v>Merchant_019</v>
      </c>
      <c r="E140" t="str">
        <f>IFERROR(VLOOKUP(C140, merchants!$A$2:$D$41, 3, FALSE), "Merchant not found")</f>
        <v>grocery</v>
      </c>
      <c r="F140" t="str">
        <f>IFERROR(VLOOKUP(C140, merchants!$A$2:$D$41, 4, FALSE), "Merchant not found")</f>
        <v>North</v>
      </c>
      <c r="G140" s="1">
        <v>46024.794444444444</v>
      </c>
      <c r="H140">
        <v>149</v>
      </c>
      <c r="I140" t="s">
        <v>66</v>
      </c>
      <c r="J140" t="s">
        <v>64</v>
      </c>
      <c r="K140">
        <v>29</v>
      </c>
      <c r="L140">
        <f>IFERROR(HLOOKUP(TRIM(I140), FeeTable!$B$1:$H$2, 2, FALSE) * H140, 0)</f>
        <v>0</v>
      </c>
      <c r="M140" t="str">
        <f t="shared" si="2"/>
        <v>Standard</v>
      </c>
    </row>
    <row r="141" spans="1:13" x14ac:dyDescent="0.3">
      <c r="A141" t="s">
        <v>208</v>
      </c>
      <c r="B141">
        <v>51</v>
      </c>
      <c r="C141">
        <v>7</v>
      </c>
      <c r="D141" t="str">
        <f>IFERROR(VLOOKUP(C141, merchants!$A$2:$D$41, 2, FALSE), "Merchant not found")</f>
        <v>Merchant_007</v>
      </c>
      <c r="E141" t="str">
        <f>IFERROR(VLOOKUP(C141, merchants!$A$2:$D$41, 3, FALSE), "Merchant not found")</f>
        <v>food_delivery</v>
      </c>
      <c r="F141" t="str">
        <f>IFERROR(VLOOKUP(C141, merchants!$A$2:$D$41, 4, FALSE), "Merchant not found")</f>
        <v>East</v>
      </c>
      <c r="G141" s="1">
        <v>46046.102083333331</v>
      </c>
      <c r="H141">
        <v>499</v>
      </c>
      <c r="I141" t="s">
        <v>78</v>
      </c>
      <c r="J141" t="s">
        <v>64</v>
      </c>
      <c r="K141">
        <v>56</v>
      </c>
      <c r="L141">
        <f>IFERROR(HLOOKUP(TRIM(I141), FeeTable!$B$1:$H$2, 2, FALSE) * H141, 0)</f>
        <v>8.9819999999999993</v>
      </c>
      <c r="M141" t="str">
        <f t="shared" si="2"/>
        <v>Standard</v>
      </c>
    </row>
    <row r="142" spans="1:13" x14ac:dyDescent="0.3">
      <c r="A142" t="s">
        <v>209</v>
      </c>
      <c r="B142">
        <v>15</v>
      </c>
      <c r="C142">
        <v>3</v>
      </c>
      <c r="D142" t="str">
        <f>IFERROR(VLOOKUP(C142, merchants!$A$2:$D$41, 2, FALSE), "Merchant not found")</f>
        <v>Merchant_003</v>
      </c>
      <c r="E142" t="str">
        <f>IFERROR(VLOOKUP(C142, merchants!$A$2:$D$41, 3, FALSE), "Merchant not found")</f>
        <v>grocery</v>
      </c>
      <c r="F142" t="str">
        <f>IFERROR(VLOOKUP(C142, merchants!$A$2:$D$41, 4, FALSE), "Merchant not found")</f>
        <v>East</v>
      </c>
      <c r="G142" s="1">
        <v>46028.929861111108</v>
      </c>
      <c r="H142">
        <v>799</v>
      </c>
      <c r="I142" t="s">
        <v>66</v>
      </c>
      <c r="J142" t="s">
        <v>64</v>
      </c>
      <c r="K142">
        <v>41</v>
      </c>
      <c r="L142">
        <f>IFERROR(HLOOKUP(TRIM(I142), FeeTable!$B$1:$H$2, 2, FALSE) * H142, 0)</f>
        <v>0</v>
      </c>
      <c r="M142" t="str">
        <f t="shared" si="2"/>
        <v>Standard</v>
      </c>
    </row>
    <row r="143" spans="1:13" x14ac:dyDescent="0.3">
      <c r="A143" t="s">
        <v>210</v>
      </c>
      <c r="B143">
        <v>184</v>
      </c>
      <c r="C143">
        <v>24</v>
      </c>
      <c r="D143" t="str">
        <f>IFERROR(VLOOKUP(C143, merchants!$A$2:$D$41, 2, FALSE), "Merchant not found")</f>
        <v>Merchant_024</v>
      </c>
      <c r="E143" t="str">
        <f>IFERROR(VLOOKUP(C143, merchants!$A$2:$D$41, 3, FALSE), "Merchant not found")</f>
        <v>grocery</v>
      </c>
      <c r="F143" t="str">
        <f>IFERROR(VLOOKUP(C143, merchants!$A$2:$D$41, 4, FALSE), "Merchant not found")</f>
        <v>North</v>
      </c>
      <c r="G143" s="1">
        <v>46048.054166666669</v>
      </c>
      <c r="H143">
        <v>49</v>
      </c>
      <c r="I143" t="s">
        <v>66</v>
      </c>
      <c r="J143" t="s">
        <v>64</v>
      </c>
      <c r="K143">
        <v>55</v>
      </c>
      <c r="L143">
        <f>IFERROR(HLOOKUP(TRIM(I143), FeeTable!$B$1:$H$2, 2, FALSE) * H143, 0)</f>
        <v>0</v>
      </c>
      <c r="M143" t="str">
        <f t="shared" si="2"/>
        <v>Standard</v>
      </c>
    </row>
    <row r="144" spans="1:13" x14ac:dyDescent="0.3">
      <c r="A144" t="s">
        <v>211</v>
      </c>
      <c r="B144">
        <v>211</v>
      </c>
      <c r="C144">
        <v>37</v>
      </c>
      <c r="D144" t="str">
        <f>IFERROR(VLOOKUP(C144, merchants!$A$2:$D$41, 2, FALSE), "Merchant not found")</f>
        <v>Merchant_037</v>
      </c>
      <c r="E144" t="str">
        <f>IFERROR(VLOOKUP(C144, merchants!$A$2:$D$41, 3, FALSE), "Merchant not found")</f>
        <v>entertainment</v>
      </c>
      <c r="F144" t="str">
        <f>IFERROR(VLOOKUP(C144, merchants!$A$2:$D$41, 4, FALSE), "Merchant not found")</f>
        <v>South</v>
      </c>
      <c r="G144" s="1">
        <v>46027.314583333333</v>
      </c>
      <c r="H144">
        <v>1499</v>
      </c>
      <c r="I144" t="s">
        <v>66</v>
      </c>
      <c r="J144" t="s">
        <v>64</v>
      </c>
      <c r="K144">
        <v>87</v>
      </c>
      <c r="L144">
        <f>IFERROR(HLOOKUP(TRIM(I144), FeeTable!$B$1:$H$2, 2, FALSE) * H144, 0)</f>
        <v>0</v>
      </c>
      <c r="M144" t="str">
        <f t="shared" si="2"/>
        <v>Standard</v>
      </c>
    </row>
    <row r="145" spans="1:13" x14ac:dyDescent="0.3">
      <c r="A145" t="s">
        <v>212</v>
      </c>
      <c r="B145">
        <v>90</v>
      </c>
      <c r="C145">
        <v>6</v>
      </c>
      <c r="D145" t="str">
        <f>IFERROR(VLOOKUP(C145, merchants!$A$2:$D$41, 2, FALSE), "Merchant not found")</f>
        <v>Merchant_006</v>
      </c>
      <c r="E145" t="str">
        <f>IFERROR(VLOOKUP(C145, merchants!$A$2:$D$41, 3, FALSE), "Merchant not found")</f>
        <v>food_delivery</v>
      </c>
      <c r="F145" t="str">
        <f>IFERROR(VLOOKUP(C145, merchants!$A$2:$D$41, 4, FALSE), "Merchant not found")</f>
        <v>South</v>
      </c>
      <c r="G145" s="1">
        <v>46048.215277777781</v>
      </c>
      <c r="H145">
        <v>49</v>
      </c>
      <c r="I145" t="s">
        <v>78</v>
      </c>
      <c r="J145" t="s">
        <v>64</v>
      </c>
      <c r="K145">
        <v>78</v>
      </c>
      <c r="L145">
        <f>IFERROR(HLOOKUP(TRIM(I145), FeeTable!$B$1:$H$2, 2, FALSE) * H145, 0)</f>
        <v>0.8819999999999999</v>
      </c>
      <c r="M145" t="str">
        <f t="shared" si="2"/>
        <v>Standard</v>
      </c>
    </row>
    <row r="146" spans="1:13" x14ac:dyDescent="0.3">
      <c r="A146" t="s">
        <v>213</v>
      </c>
      <c r="B146">
        <v>350</v>
      </c>
      <c r="C146">
        <v>16</v>
      </c>
      <c r="D146" t="str">
        <f>IFERROR(VLOOKUP(C146, merchants!$A$2:$D$41, 2, FALSE), "Merchant not found")</f>
        <v>Merchant_016</v>
      </c>
      <c r="E146" t="str">
        <f>IFERROR(VLOOKUP(C146, merchants!$A$2:$D$41, 3, FALSE), "Merchant not found")</f>
        <v>bill_payment</v>
      </c>
      <c r="F146" t="str">
        <f>IFERROR(VLOOKUP(C146, merchants!$A$2:$D$41, 4, FALSE), "Merchant not found")</f>
        <v>West</v>
      </c>
      <c r="G146" s="1">
        <v>46050.527083333334</v>
      </c>
      <c r="H146">
        <v>49</v>
      </c>
      <c r="I146" t="s">
        <v>66</v>
      </c>
      <c r="J146" t="s">
        <v>64</v>
      </c>
      <c r="K146">
        <v>63</v>
      </c>
      <c r="L146">
        <f>IFERROR(HLOOKUP(TRIM(I146), FeeTable!$B$1:$H$2, 2, FALSE) * H146, 0)</f>
        <v>0</v>
      </c>
      <c r="M146" t="str">
        <f t="shared" si="2"/>
        <v>Standard</v>
      </c>
    </row>
    <row r="147" spans="1:13" x14ac:dyDescent="0.3">
      <c r="A147" t="s">
        <v>214</v>
      </c>
      <c r="B147">
        <v>119</v>
      </c>
      <c r="C147">
        <v>30</v>
      </c>
      <c r="D147" t="str">
        <f>IFERROR(VLOOKUP(C147, merchants!$A$2:$D$41, 2, FALSE), "Merchant not found")</f>
        <v>Merchant_030</v>
      </c>
      <c r="E147" t="str">
        <f>IFERROR(VLOOKUP(C147, merchants!$A$2:$D$41, 3, FALSE), "Merchant not found")</f>
        <v>travel</v>
      </c>
      <c r="F147" t="str">
        <f>IFERROR(VLOOKUP(C147, merchants!$A$2:$D$41, 4, FALSE), "Merchant not found")</f>
        <v>West</v>
      </c>
      <c r="G147" s="1">
        <v>46052.756249999999</v>
      </c>
      <c r="H147">
        <v>49</v>
      </c>
      <c r="I147" t="s">
        <v>78</v>
      </c>
      <c r="J147" t="s">
        <v>64</v>
      </c>
      <c r="K147">
        <v>81</v>
      </c>
      <c r="L147">
        <f>IFERROR(HLOOKUP(TRIM(I147), FeeTable!$B$1:$H$2, 2, FALSE) * H147, 0)</f>
        <v>0.8819999999999999</v>
      </c>
      <c r="M147" t="str">
        <f t="shared" si="2"/>
        <v>Standard</v>
      </c>
    </row>
    <row r="148" spans="1:13" x14ac:dyDescent="0.3">
      <c r="A148" t="s">
        <v>215</v>
      </c>
      <c r="B148">
        <v>342</v>
      </c>
      <c r="C148">
        <v>1</v>
      </c>
      <c r="D148" t="str">
        <f>IFERROR(VLOOKUP(C148, merchants!$A$2:$D$41, 2, FALSE), "Merchant not found")</f>
        <v>Merchant_001</v>
      </c>
      <c r="E148" t="str">
        <f>IFERROR(VLOOKUP(C148, merchants!$A$2:$D$41, 3, FALSE), "Merchant not found")</f>
        <v>ecommerce</v>
      </c>
      <c r="F148" t="str">
        <f>IFERROR(VLOOKUP(C148, merchants!$A$2:$D$41, 4, FALSE), "Merchant not found")</f>
        <v>South</v>
      </c>
      <c r="G148" s="1">
        <v>46031.594444444447</v>
      </c>
      <c r="H148">
        <v>49</v>
      </c>
      <c r="I148" t="s">
        <v>66</v>
      </c>
      <c r="J148" t="s">
        <v>64</v>
      </c>
      <c r="K148">
        <v>59</v>
      </c>
      <c r="L148">
        <f>IFERROR(HLOOKUP(TRIM(I148), FeeTable!$B$1:$H$2, 2, FALSE) * H148, 0)</f>
        <v>0</v>
      </c>
      <c r="M148" t="str">
        <f t="shared" si="2"/>
        <v>Standard</v>
      </c>
    </row>
    <row r="149" spans="1:13" x14ac:dyDescent="0.3">
      <c r="A149" t="s">
        <v>216</v>
      </c>
      <c r="B149">
        <v>280</v>
      </c>
      <c r="C149">
        <v>11</v>
      </c>
      <c r="D149" t="str">
        <f>IFERROR(VLOOKUP(C149, merchants!$A$2:$D$41, 2, FALSE), "Merchant not found")</f>
        <v>Merchant_011</v>
      </c>
      <c r="E149" t="str">
        <f>IFERROR(VLOOKUP(C149, merchants!$A$2:$D$41, 3, FALSE), "Merchant not found")</f>
        <v>ecommerce</v>
      </c>
      <c r="F149" t="str">
        <f>IFERROR(VLOOKUP(C149, merchants!$A$2:$D$41, 4, FALSE), "Merchant not found")</f>
        <v>North</v>
      </c>
      <c r="G149" s="1">
        <v>46051.404861111114</v>
      </c>
      <c r="H149">
        <v>149</v>
      </c>
      <c r="I149" t="s">
        <v>66</v>
      </c>
      <c r="J149" t="s">
        <v>92</v>
      </c>
      <c r="K149">
        <v>9</v>
      </c>
      <c r="L149">
        <f>IFERROR(HLOOKUP(TRIM(I149), FeeTable!$B$1:$H$2, 2, FALSE) * H149, 0)</f>
        <v>0</v>
      </c>
      <c r="M149" t="str">
        <f t="shared" si="2"/>
        <v>Standard</v>
      </c>
    </row>
    <row r="150" spans="1:13" x14ac:dyDescent="0.3">
      <c r="A150" t="s">
        <v>217</v>
      </c>
      <c r="B150">
        <v>154</v>
      </c>
      <c r="C150">
        <v>28</v>
      </c>
      <c r="D150" t="str">
        <f>IFERROR(VLOOKUP(C150, merchants!$A$2:$D$41, 2, FALSE), "Merchant not found")</f>
        <v>Merchant_028</v>
      </c>
      <c r="E150" t="str">
        <f>IFERROR(VLOOKUP(C150, merchants!$A$2:$D$41, 3, FALSE), "Merchant not found")</f>
        <v>ecommerce</v>
      </c>
      <c r="F150" t="str">
        <f>IFERROR(VLOOKUP(C150, merchants!$A$2:$D$41, 4, FALSE), "Merchant not found")</f>
        <v>South</v>
      </c>
      <c r="G150" s="1">
        <v>46037.484027777777</v>
      </c>
      <c r="H150">
        <v>2999</v>
      </c>
      <c r="I150" t="s">
        <v>69</v>
      </c>
      <c r="J150" t="s">
        <v>64</v>
      </c>
      <c r="K150">
        <v>88</v>
      </c>
      <c r="L150">
        <f>IFERROR(HLOOKUP(TRIM(I150), FeeTable!$B$1:$H$2, 2, FALSE) * H150, 0)</f>
        <v>44.984999999999999</v>
      </c>
      <c r="M150" t="str">
        <f t="shared" si="2"/>
        <v>Standard</v>
      </c>
    </row>
    <row r="151" spans="1:13" x14ac:dyDescent="0.3">
      <c r="A151" t="s">
        <v>218</v>
      </c>
      <c r="B151">
        <v>155</v>
      </c>
      <c r="C151">
        <v>13</v>
      </c>
      <c r="D151" t="str">
        <f>IFERROR(VLOOKUP(C151, merchants!$A$2:$D$41, 2, FALSE), "Merchant not found")</f>
        <v>Merchant_013</v>
      </c>
      <c r="E151" t="str">
        <f>IFERROR(VLOOKUP(C151, merchants!$A$2:$D$41, 3, FALSE), "Merchant not found")</f>
        <v>travel</v>
      </c>
      <c r="F151" t="str">
        <f>IFERROR(VLOOKUP(C151, merchants!$A$2:$D$41, 4, FALSE), "Merchant not found")</f>
        <v>East</v>
      </c>
      <c r="G151" s="1">
        <v>46031.620833333334</v>
      </c>
      <c r="H151">
        <v>149</v>
      </c>
      <c r="I151" t="s">
        <v>66</v>
      </c>
      <c r="J151" t="s">
        <v>64</v>
      </c>
      <c r="K151">
        <v>49</v>
      </c>
      <c r="L151">
        <f>IFERROR(HLOOKUP(TRIM(I151), FeeTable!$B$1:$H$2, 2, FALSE) * H151, 0)</f>
        <v>0</v>
      </c>
      <c r="M151" t="str">
        <f t="shared" si="2"/>
        <v>Standard</v>
      </c>
    </row>
    <row r="152" spans="1:13" x14ac:dyDescent="0.3">
      <c r="A152" t="s">
        <v>219</v>
      </c>
      <c r="B152">
        <v>122</v>
      </c>
      <c r="C152">
        <v>25</v>
      </c>
      <c r="D152" t="str">
        <f>IFERROR(VLOOKUP(C152, merchants!$A$2:$D$41, 2, FALSE), "Merchant not found")</f>
        <v>Merchant_025</v>
      </c>
      <c r="E152" t="str">
        <f>IFERROR(VLOOKUP(C152, merchants!$A$2:$D$41, 3, FALSE), "Merchant not found")</f>
        <v>travel</v>
      </c>
      <c r="F152" t="str">
        <f>IFERROR(VLOOKUP(C152, merchants!$A$2:$D$41, 4, FALSE), "Merchant not found")</f>
        <v>South</v>
      </c>
      <c r="G152" s="1">
        <v>46050.629166666666</v>
      </c>
      <c r="H152">
        <v>299</v>
      </c>
      <c r="I152" t="s">
        <v>66</v>
      </c>
      <c r="J152" t="s">
        <v>64</v>
      </c>
      <c r="K152">
        <v>73</v>
      </c>
      <c r="L152">
        <f>IFERROR(HLOOKUP(TRIM(I152), FeeTable!$B$1:$H$2, 2, FALSE) * H152, 0)</f>
        <v>0</v>
      </c>
      <c r="M152" t="str">
        <f t="shared" si="2"/>
        <v>Standard</v>
      </c>
    </row>
    <row r="153" spans="1:13" x14ac:dyDescent="0.3">
      <c r="A153" t="s">
        <v>220</v>
      </c>
      <c r="B153">
        <v>152</v>
      </c>
      <c r="C153">
        <v>2</v>
      </c>
      <c r="D153" t="str">
        <f>IFERROR(VLOOKUP(C153, merchants!$A$2:$D$41, 2, FALSE), "Merchant not found")</f>
        <v>Merchant_002</v>
      </c>
      <c r="E153" t="str">
        <f>IFERROR(VLOOKUP(C153, merchants!$A$2:$D$41, 3, FALSE), "Merchant not found")</f>
        <v>grocery</v>
      </c>
      <c r="F153" t="str">
        <f>IFERROR(VLOOKUP(C153, merchants!$A$2:$D$41, 4, FALSE), "Merchant not found")</f>
        <v>West</v>
      </c>
      <c r="G153" s="1">
        <v>46034.762499999997</v>
      </c>
      <c r="H153">
        <v>49</v>
      </c>
      <c r="I153" t="s">
        <v>66</v>
      </c>
      <c r="J153" t="s">
        <v>64</v>
      </c>
      <c r="K153">
        <v>84</v>
      </c>
      <c r="L153">
        <f>IFERROR(HLOOKUP(TRIM(I153), FeeTable!$B$1:$H$2, 2, FALSE) * H153, 0)</f>
        <v>0</v>
      </c>
      <c r="M153" t="str">
        <f t="shared" si="2"/>
        <v>Standard</v>
      </c>
    </row>
    <row r="154" spans="1:13" x14ac:dyDescent="0.3">
      <c r="A154" t="s">
        <v>221</v>
      </c>
      <c r="B154">
        <v>290</v>
      </c>
      <c r="C154">
        <v>4</v>
      </c>
      <c r="D154" t="str">
        <f>IFERROR(VLOOKUP(C154, merchants!$A$2:$D$41, 2, FALSE), "Merchant not found")</f>
        <v>Merchant_004</v>
      </c>
      <c r="E154" t="str">
        <f>IFERROR(VLOOKUP(C154, merchants!$A$2:$D$41, 3, FALSE), "Merchant not found")</f>
        <v>ecommerce</v>
      </c>
      <c r="F154" t="str">
        <f>IFERROR(VLOOKUP(C154, merchants!$A$2:$D$41, 4, FALSE), "Merchant not found")</f>
        <v>East</v>
      </c>
      <c r="G154" s="1">
        <v>46035.333333333336</v>
      </c>
      <c r="H154">
        <v>149</v>
      </c>
      <c r="I154" t="s">
        <v>66</v>
      </c>
      <c r="J154" t="s">
        <v>64</v>
      </c>
      <c r="K154">
        <v>77</v>
      </c>
      <c r="L154">
        <f>IFERROR(HLOOKUP(TRIM(I154), FeeTable!$B$1:$H$2, 2, FALSE) * H154, 0)</f>
        <v>0</v>
      </c>
      <c r="M154" t="str">
        <f t="shared" si="2"/>
        <v>Standard</v>
      </c>
    </row>
    <row r="155" spans="1:13" x14ac:dyDescent="0.3">
      <c r="A155" t="s">
        <v>222</v>
      </c>
      <c r="B155">
        <v>147</v>
      </c>
      <c r="C155">
        <v>15</v>
      </c>
      <c r="D155" t="str">
        <f>IFERROR(VLOOKUP(C155, merchants!$A$2:$D$41, 2, FALSE), "Merchant not found")</f>
        <v>Merchant_015</v>
      </c>
      <c r="E155" t="str">
        <f>IFERROR(VLOOKUP(C155, merchants!$A$2:$D$41, 3, FALSE), "Merchant not found")</f>
        <v>travel</v>
      </c>
      <c r="F155" t="str">
        <f>IFERROR(VLOOKUP(C155, merchants!$A$2:$D$41, 4, FALSE), "Merchant not found")</f>
        <v>North</v>
      </c>
      <c r="G155" s="1">
        <v>46046.661805555559</v>
      </c>
      <c r="H155">
        <v>49</v>
      </c>
      <c r="I155" t="s">
        <v>63</v>
      </c>
      <c r="J155" t="s">
        <v>64</v>
      </c>
      <c r="K155">
        <v>77</v>
      </c>
      <c r="L155">
        <f>IFERROR(HLOOKUP(TRIM(I155), FeeTable!$B$1:$H$2, 2, FALSE) * H155, 0)</f>
        <v>0.53899999999999992</v>
      </c>
      <c r="M155" t="str">
        <f t="shared" si="2"/>
        <v>Standard</v>
      </c>
    </row>
    <row r="156" spans="1:13" x14ac:dyDescent="0.3">
      <c r="A156" t="s">
        <v>223</v>
      </c>
      <c r="B156">
        <v>326</v>
      </c>
      <c r="C156">
        <v>13</v>
      </c>
      <c r="D156" t="str">
        <f>IFERROR(VLOOKUP(C156, merchants!$A$2:$D$41, 2, FALSE), "Merchant not found")</f>
        <v>Merchant_013</v>
      </c>
      <c r="E156" t="str">
        <f>IFERROR(VLOOKUP(C156, merchants!$A$2:$D$41, 3, FALSE), "Merchant not found")</f>
        <v>travel</v>
      </c>
      <c r="F156" t="str">
        <f>IFERROR(VLOOKUP(C156, merchants!$A$2:$D$41, 4, FALSE), "Merchant not found")</f>
        <v>East</v>
      </c>
      <c r="G156" s="1">
        <v>46048.468055555553</v>
      </c>
      <c r="H156">
        <v>299</v>
      </c>
      <c r="I156" t="s">
        <v>69</v>
      </c>
      <c r="J156" t="s">
        <v>64</v>
      </c>
      <c r="K156">
        <v>79</v>
      </c>
      <c r="L156">
        <f>IFERROR(HLOOKUP(TRIM(I156), FeeTable!$B$1:$H$2, 2, FALSE) * H156, 0)</f>
        <v>4.4849999999999994</v>
      </c>
      <c r="M156" t="str">
        <f t="shared" si="2"/>
        <v>Standard</v>
      </c>
    </row>
    <row r="157" spans="1:13" x14ac:dyDescent="0.3">
      <c r="A157" t="s">
        <v>224</v>
      </c>
      <c r="B157">
        <v>338</v>
      </c>
      <c r="C157">
        <v>9</v>
      </c>
      <c r="D157" t="str">
        <f>IFERROR(VLOOKUP(C157, merchants!$A$2:$D$41, 2, FALSE), "Merchant not found")</f>
        <v>Merchant_009</v>
      </c>
      <c r="E157" t="str">
        <f>IFERROR(VLOOKUP(C157, merchants!$A$2:$D$41, 3, FALSE), "Merchant not found")</f>
        <v>ecommerce</v>
      </c>
      <c r="F157" t="str">
        <f>IFERROR(VLOOKUP(C157, merchants!$A$2:$D$41, 4, FALSE), "Merchant not found")</f>
        <v>North</v>
      </c>
      <c r="G157" s="1">
        <v>46031.908333333333</v>
      </c>
      <c r="H157">
        <v>99</v>
      </c>
      <c r="I157" t="s">
        <v>78</v>
      </c>
      <c r="J157" t="s">
        <v>64</v>
      </c>
      <c r="K157">
        <v>80</v>
      </c>
      <c r="L157">
        <f>IFERROR(HLOOKUP(TRIM(I157), FeeTable!$B$1:$H$2, 2, FALSE) * H157, 0)</f>
        <v>1.7819999999999998</v>
      </c>
      <c r="M157" t="str">
        <f t="shared" si="2"/>
        <v>Standard</v>
      </c>
    </row>
    <row r="158" spans="1:13" x14ac:dyDescent="0.3">
      <c r="A158" t="s">
        <v>225</v>
      </c>
      <c r="B158">
        <v>21</v>
      </c>
      <c r="C158">
        <v>20</v>
      </c>
      <c r="D158" t="str">
        <f>IFERROR(VLOOKUP(C158, merchants!$A$2:$D$41, 2, FALSE), "Merchant not found")</f>
        <v>Merchant_020</v>
      </c>
      <c r="E158" t="str">
        <f>IFERROR(VLOOKUP(C158, merchants!$A$2:$D$41, 3, FALSE), "Merchant not found")</f>
        <v>food_delivery</v>
      </c>
      <c r="F158" t="str">
        <f>IFERROR(VLOOKUP(C158, merchants!$A$2:$D$41, 4, FALSE), "Merchant not found")</f>
        <v>East</v>
      </c>
      <c r="G158" s="1">
        <v>46026.861805555556</v>
      </c>
      <c r="H158">
        <v>2999</v>
      </c>
      <c r="I158" t="s">
        <v>66</v>
      </c>
      <c r="J158" t="s">
        <v>64</v>
      </c>
      <c r="K158">
        <v>100</v>
      </c>
      <c r="L158">
        <f>IFERROR(HLOOKUP(TRIM(I158), FeeTable!$B$1:$H$2, 2, FALSE) * H158, 0)</f>
        <v>0</v>
      </c>
      <c r="M158" t="str">
        <f t="shared" si="2"/>
        <v>Standard</v>
      </c>
    </row>
    <row r="159" spans="1:13" x14ac:dyDescent="0.3">
      <c r="A159" t="s">
        <v>226</v>
      </c>
      <c r="B159">
        <v>187</v>
      </c>
      <c r="C159">
        <v>9</v>
      </c>
      <c r="D159" t="str">
        <f>IFERROR(VLOOKUP(C159, merchants!$A$2:$D$41, 2, FALSE), "Merchant not found")</f>
        <v>Merchant_009</v>
      </c>
      <c r="E159" t="str">
        <f>IFERROR(VLOOKUP(C159, merchants!$A$2:$D$41, 3, FALSE), "Merchant not found")</f>
        <v>ecommerce</v>
      </c>
      <c r="F159" t="str">
        <f>IFERROR(VLOOKUP(C159, merchants!$A$2:$D$41, 4, FALSE), "Merchant not found")</f>
        <v>North</v>
      </c>
      <c r="G159" s="1">
        <v>46037.067361111112</v>
      </c>
      <c r="H159">
        <v>49</v>
      </c>
      <c r="I159" t="s">
        <v>78</v>
      </c>
      <c r="J159" t="s">
        <v>79</v>
      </c>
      <c r="K159">
        <v>11</v>
      </c>
      <c r="L159">
        <f>IFERROR(HLOOKUP(TRIM(I159), FeeTable!$B$1:$H$2, 2, FALSE) * H159, 0)</f>
        <v>0.8819999999999999</v>
      </c>
      <c r="M159" t="str">
        <f t="shared" si="2"/>
        <v>Standard</v>
      </c>
    </row>
    <row r="160" spans="1:13" x14ac:dyDescent="0.3">
      <c r="A160" t="s">
        <v>227</v>
      </c>
      <c r="B160">
        <v>213</v>
      </c>
      <c r="C160">
        <v>12</v>
      </c>
      <c r="D160" t="str">
        <f>IFERROR(VLOOKUP(C160, merchants!$A$2:$D$41, 2, FALSE), "Merchant not found")</f>
        <v>Merchant_012</v>
      </c>
      <c r="E160" t="str">
        <f>IFERROR(VLOOKUP(C160, merchants!$A$2:$D$41, 3, FALSE), "Merchant not found")</f>
        <v>ecommerce</v>
      </c>
      <c r="F160" t="str">
        <f>IFERROR(VLOOKUP(C160, merchants!$A$2:$D$41, 4, FALSE), "Merchant not found")</f>
        <v>East</v>
      </c>
      <c r="G160" s="1">
        <v>46052.388888888891</v>
      </c>
      <c r="H160">
        <v>4999</v>
      </c>
      <c r="I160" t="s">
        <v>66</v>
      </c>
      <c r="J160" t="s">
        <v>64</v>
      </c>
      <c r="K160">
        <v>25</v>
      </c>
      <c r="L160">
        <f>IFERROR(HLOOKUP(TRIM(I160), FeeTable!$B$1:$H$2, 2, FALSE) * H160, 0)</f>
        <v>0</v>
      </c>
      <c r="M160" t="str">
        <f t="shared" si="2"/>
        <v>Standard</v>
      </c>
    </row>
    <row r="161" spans="1:13" x14ac:dyDescent="0.3">
      <c r="A161" t="s">
        <v>228</v>
      </c>
      <c r="B161">
        <v>188</v>
      </c>
      <c r="C161">
        <v>34</v>
      </c>
      <c r="D161" t="str">
        <f>IFERROR(VLOOKUP(C161, merchants!$A$2:$D$41, 2, FALSE), "Merchant not found")</f>
        <v>Merchant_034</v>
      </c>
      <c r="E161" t="str">
        <f>IFERROR(VLOOKUP(C161, merchants!$A$2:$D$41, 3, FALSE), "Merchant not found")</f>
        <v>travel</v>
      </c>
      <c r="F161" t="str">
        <f>IFERROR(VLOOKUP(C161, merchants!$A$2:$D$41, 4, FALSE), "Merchant not found")</f>
        <v>South</v>
      </c>
      <c r="G161" s="1">
        <v>46027.74722222222</v>
      </c>
      <c r="H161">
        <v>2999</v>
      </c>
      <c r="I161" t="s">
        <v>66</v>
      </c>
      <c r="J161" t="s">
        <v>64</v>
      </c>
      <c r="K161">
        <v>64</v>
      </c>
      <c r="L161">
        <f>IFERROR(HLOOKUP(TRIM(I161), FeeTable!$B$1:$H$2, 2, FALSE) * H161, 0)</f>
        <v>0</v>
      </c>
      <c r="M161" t="str">
        <f t="shared" si="2"/>
        <v>Standard</v>
      </c>
    </row>
    <row r="162" spans="1:13" x14ac:dyDescent="0.3">
      <c r="A162" t="s">
        <v>229</v>
      </c>
      <c r="B162">
        <v>85</v>
      </c>
      <c r="C162">
        <v>17</v>
      </c>
      <c r="D162" t="str">
        <f>IFERROR(VLOOKUP(C162, merchants!$A$2:$D$41, 2, FALSE), "Merchant not found")</f>
        <v>Merchant_017</v>
      </c>
      <c r="E162" t="str">
        <f>IFERROR(VLOOKUP(C162, merchants!$A$2:$D$41, 3, FALSE), "Merchant not found")</f>
        <v>grocery</v>
      </c>
      <c r="F162" t="str">
        <f>IFERROR(VLOOKUP(C162, merchants!$A$2:$D$41, 4, FALSE), "Merchant not found")</f>
        <v>North</v>
      </c>
      <c r="G162" s="1">
        <v>46052.370138888888</v>
      </c>
      <c r="H162">
        <v>499</v>
      </c>
      <c r="I162" t="s">
        <v>66</v>
      </c>
      <c r="J162" t="s">
        <v>64</v>
      </c>
      <c r="K162">
        <v>61</v>
      </c>
      <c r="L162">
        <f>IFERROR(HLOOKUP(TRIM(I162), FeeTable!$B$1:$H$2, 2, FALSE) * H162, 0)</f>
        <v>0</v>
      </c>
      <c r="M162" t="str">
        <f t="shared" si="2"/>
        <v>Standard</v>
      </c>
    </row>
    <row r="163" spans="1:13" x14ac:dyDescent="0.3">
      <c r="A163" t="s">
        <v>230</v>
      </c>
      <c r="B163">
        <v>174</v>
      </c>
      <c r="C163">
        <v>8</v>
      </c>
      <c r="D163" t="str">
        <f>IFERROR(VLOOKUP(C163, merchants!$A$2:$D$41, 2, FALSE), "Merchant not found")</f>
        <v>Merchant_008</v>
      </c>
      <c r="E163" t="str">
        <f>IFERROR(VLOOKUP(C163, merchants!$A$2:$D$41, 3, FALSE), "Merchant not found")</f>
        <v>food_delivery</v>
      </c>
      <c r="F163" t="str">
        <f>IFERROR(VLOOKUP(C163, merchants!$A$2:$D$41, 4, FALSE), "Merchant not found")</f>
        <v>North</v>
      </c>
      <c r="G163" s="1">
        <v>46048.407638888886</v>
      </c>
      <c r="H163">
        <v>299</v>
      </c>
      <c r="I163" t="s">
        <v>69</v>
      </c>
      <c r="J163" t="s">
        <v>64</v>
      </c>
      <c r="K163">
        <v>59</v>
      </c>
      <c r="L163">
        <f>IFERROR(HLOOKUP(TRIM(I163), FeeTable!$B$1:$H$2, 2, FALSE) * H163, 0)</f>
        <v>4.4849999999999994</v>
      </c>
      <c r="M163" t="str">
        <f t="shared" si="2"/>
        <v>Standard</v>
      </c>
    </row>
    <row r="164" spans="1:13" x14ac:dyDescent="0.3">
      <c r="A164" t="s">
        <v>231</v>
      </c>
      <c r="B164">
        <v>116</v>
      </c>
      <c r="C164">
        <v>26</v>
      </c>
      <c r="D164" t="str">
        <f>IFERROR(VLOOKUP(C164, merchants!$A$2:$D$41, 2, FALSE), "Merchant not found")</f>
        <v>Merchant_026</v>
      </c>
      <c r="E164" t="str">
        <f>IFERROR(VLOOKUP(C164, merchants!$A$2:$D$41, 3, FALSE), "Merchant not found")</f>
        <v>food_delivery</v>
      </c>
      <c r="F164" t="str">
        <f>IFERROR(VLOOKUP(C164, merchants!$A$2:$D$41, 4, FALSE), "Merchant not found")</f>
        <v>East</v>
      </c>
      <c r="G164" s="1">
        <v>46025.2</v>
      </c>
      <c r="H164">
        <v>99</v>
      </c>
      <c r="I164" t="s">
        <v>69</v>
      </c>
      <c r="J164" t="s">
        <v>64</v>
      </c>
      <c r="K164">
        <v>71</v>
      </c>
      <c r="L164">
        <f>IFERROR(HLOOKUP(TRIM(I164), FeeTable!$B$1:$H$2, 2, FALSE) * H164, 0)</f>
        <v>1.4849999999999999</v>
      </c>
      <c r="M164" t="str">
        <f t="shared" si="2"/>
        <v>Standard</v>
      </c>
    </row>
    <row r="165" spans="1:13" x14ac:dyDescent="0.3">
      <c r="A165" t="s">
        <v>232</v>
      </c>
      <c r="B165">
        <v>203</v>
      </c>
      <c r="C165">
        <v>1</v>
      </c>
      <c r="D165" t="str">
        <f>IFERROR(VLOOKUP(C165, merchants!$A$2:$D$41, 2, FALSE), "Merchant not found")</f>
        <v>Merchant_001</v>
      </c>
      <c r="E165" t="str">
        <f>IFERROR(VLOOKUP(C165, merchants!$A$2:$D$41, 3, FALSE), "Merchant not found")</f>
        <v>ecommerce</v>
      </c>
      <c r="F165" t="str">
        <f>IFERROR(VLOOKUP(C165, merchants!$A$2:$D$41, 4, FALSE), "Merchant not found")</f>
        <v>South</v>
      </c>
      <c r="G165" s="1">
        <v>46034.118055555555</v>
      </c>
      <c r="H165">
        <v>149</v>
      </c>
      <c r="I165" t="s">
        <v>63</v>
      </c>
      <c r="J165" t="s">
        <v>64</v>
      </c>
      <c r="K165">
        <v>33</v>
      </c>
      <c r="L165">
        <f>IFERROR(HLOOKUP(TRIM(I165), FeeTable!$B$1:$H$2, 2, FALSE) * H165, 0)</f>
        <v>1.639</v>
      </c>
      <c r="M165" t="str">
        <f t="shared" si="2"/>
        <v>Standard</v>
      </c>
    </row>
    <row r="166" spans="1:13" x14ac:dyDescent="0.3">
      <c r="A166" t="s">
        <v>233</v>
      </c>
      <c r="B166">
        <v>189</v>
      </c>
      <c r="C166">
        <v>17</v>
      </c>
      <c r="D166" t="str">
        <f>IFERROR(VLOOKUP(C166, merchants!$A$2:$D$41, 2, FALSE), "Merchant not found")</f>
        <v>Merchant_017</v>
      </c>
      <c r="E166" t="str">
        <f>IFERROR(VLOOKUP(C166, merchants!$A$2:$D$41, 3, FALSE), "Merchant not found")</f>
        <v>grocery</v>
      </c>
      <c r="F166" t="str">
        <f>IFERROR(VLOOKUP(C166, merchants!$A$2:$D$41, 4, FALSE), "Merchant not found")</f>
        <v>North</v>
      </c>
      <c r="G166" s="1">
        <v>46040.145138888889</v>
      </c>
      <c r="H166">
        <v>99</v>
      </c>
      <c r="I166" t="s">
        <v>66</v>
      </c>
      <c r="J166" t="s">
        <v>64</v>
      </c>
      <c r="K166">
        <v>74</v>
      </c>
      <c r="L166">
        <f>IFERROR(HLOOKUP(TRIM(I166), FeeTable!$B$1:$H$2, 2, FALSE) * H166, 0)</f>
        <v>0</v>
      </c>
      <c r="M166" t="str">
        <f t="shared" si="2"/>
        <v>Standard</v>
      </c>
    </row>
    <row r="167" spans="1:13" x14ac:dyDescent="0.3">
      <c r="A167" t="s">
        <v>234</v>
      </c>
      <c r="B167">
        <v>56</v>
      </c>
      <c r="C167">
        <v>15</v>
      </c>
      <c r="D167" t="str">
        <f>IFERROR(VLOOKUP(C167, merchants!$A$2:$D$41, 2, FALSE), "Merchant not found")</f>
        <v>Merchant_015</v>
      </c>
      <c r="E167" t="str">
        <f>IFERROR(VLOOKUP(C167, merchants!$A$2:$D$41, 3, FALSE), "Merchant not found")</f>
        <v>travel</v>
      </c>
      <c r="F167" t="str">
        <f>IFERROR(VLOOKUP(C167, merchants!$A$2:$D$41, 4, FALSE), "Merchant not found")</f>
        <v>North</v>
      </c>
      <c r="G167" s="1">
        <v>46035.849305555559</v>
      </c>
      <c r="H167">
        <v>299</v>
      </c>
      <c r="I167" t="s">
        <v>66</v>
      </c>
      <c r="J167" t="s">
        <v>64</v>
      </c>
      <c r="K167">
        <v>60</v>
      </c>
      <c r="L167">
        <f>IFERROR(HLOOKUP(TRIM(I167), FeeTable!$B$1:$H$2, 2, FALSE) * H167, 0)</f>
        <v>0</v>
      </c>
      <c r="M167" t="str">
        <f t="shared" si="2"/>
        <v>Standard</v>
      </c>
    </row>
    <row r="168" spans="1:13" x14ac:dyDescent="0.3">
      <c r="A168" t="s">
        <v>235</v>
      </c>
      <c r="B168">
        <v>288</v>
      </c>
      <c r="C168">
        <v>21</v>
      </c>
      <c r="D168" t="str">
        <f>IFERROR(VLOOKUP(C168, merchants!$A$2:$D$41, 2, FALSE), "Merchant not found")</f>
        <v>Merchant_021</v>
      </c>
      <c r="E168" t="str">
        <f>IFERROR(VLOOKUP(C168, merchants!$A$2:$D$41, 3, FALSE), "Merchant not found")</f>
        <v>food_delivery</v>
      </c>
      <c r="F168" t="str">
        <f>IFERROR(VLOOKUP(C168, merchants!$A$2:$D$41, 4, FALSE), "Merchant not found")</f>
        <v>East</v>
      </c>
      <c r="G168" s="1">
        <v>46023.830555555556</v>
      </c>
      <c r="H168">
        <v>4999</v>
      </c>
      <c r="I168" t="s">
        <v>63</v>
      </c>
      <c r="J168" t="s">
        <v>79</v>
      </c>
      <c r="K168">
        <v>78</v>
      </c>
      <c r="L168">
        <f>IFERROR(HLOOKUP(TRIM(I168), FeeTable!$B$1:$H$2, 2, FALSE) * H168, 0)</f>
        <v>54.988999999999997</v>
      </c>
      <c r="M168" t="str">
        <f t="shared" si="2"/>
        <v>Standard</v>
      </c>
    </row>
    <row r="169" spans="1:13" x14ac:dyDescent="0.3">
      <c r="A169" t="s">
        <v>236</v>
      </c>
      <c r="B169">
        <v>326</v>
      </c>
      <c r="C169">
        <v>30</v>
      </c>
      <c r="D169" t="str">
        <f>IFERROR(VLOOKUP(C169, merchants!$A$2:$D$41, 2, FALSE), "Merchant not found")</f>
        <v>Merchant_030</v>
      </c>
      <c r="E169" t="str">
        <f>IFERROR(VLOOKUP(C169, merchants!$A$2:$D$41, 3, FALSE), "Merchant not found")</f>
        <v>travel</v>
      </c>
      <c r="F169" t="str">
        <f>IFERROR(VLOOKUP(C169, merchants!$A$2:$D$41, 4, FALSE), "Merchant not found")</f>
        <v>West</v>
      </c>
      <c r="G169" s="1">
        <v>46030.836111111108</v>
      </c>
      <c r="H169">
        <v>99</v>
      </c>
      <c r="I169" t="s">
        <v>78</v>
      </c>
      <c r="J169" t="s">
        <v>64</v>
      </c>
      <c r="K169">
        <v>89</v>
      </c>
      <c r="L169">
        <f>IFERROR(HLOOKUP(TRIM(I169), FeeTable!$B$1:$H$2, 2, FALSE) * H169, 0)</f>
        <v>1.7819999999999998</v>
      </c>
      <c r="M169" t="str">
        <f t="shared" si="2"/>
        <v>Standard</v>
      </c>
    </row>
    <row r="170" spans="1:13" x14ac:dyDescent="0.3">
      <c r="A170" t="s">
        <v>237</v>
      </c>
      <c r="B170">
        <v>60</v>
      </c>
      <c r="C170">
        <v>9</v>
      </c>
      <c r="D170" t="str">
        <f>IFERROR(VLOOKUP(C170, merchants!$A$2:$D$41, 2, FALSE), "Merchant not found")</f>
        <v>Merchant_009</v>
      </c>
      <c r="E170" t="str">
        <f>IFERROR(VLOOKUP(C170, merchants!$A$2:$D$41, 3, FALSE), "Merchant not found")</f>
        <v>ecommerce</v>
      </c>
      <c r="F170" t="str">
        <f>IFERROR(VLOOKUP(C170, merchants!$A$2:$D$41, 4, FALSE), "Merchant not found")</f>
        <v>North</v>
      </c>
      <c r="G170" s="1">
        <v>46032.851388888892</v>
      </c>
      <c r="H170">
        <v>49</v>
      </c>
      <c r="I170" t="s">
        <v>69</v>
      </c>
      <c r="J170" t="s">
        <v>64</v>
      </c>
      <c r="K170">
        <v>5</v>
      </c>
      <c r="L170">
        <f>IFERROR(HLOOKUP(TRIM(I170), FeeTable!$B$1:$H$2, 2, FALSE) * H170, 0)</f>
        <v>0.73499999999999999</v>
      </c>
      <c r="M170" t="str">
        <f t="shared" si="2"/>
        <v>Standard</v>
      </c>
    </row>
    <row r="171" spans="1:13" x14ac:dyDescent="0.3">
      <c r="A171" t="s">
        <v>238</v>
      </c>
      <c r="B171">
        <v>60</v>
      </c>
      <c r="C171">
        <v>7</v>
      </c>
      <c r="D171" t="str">
        <f>IFERROR(VLOOKUP(C171, merchants!$A$2:$D$41, 2, FALSE), "Merchant not found")</f>
        <v>Merchant_007</v>
      </c>
      <c r="E171" t="str">
        <f>IFERROR(VLOOKUP(C171, merchants!$A$2:$D$41, 3, FALSE), "Merchant not found")</f>
        <v>food_delivery</v>
      </c>
      <c r="F171" t="str">
        <f>IFERROR(VLOOKUP(C171, merchants!$A$2:$D$41, 4, FALSE), "Merchant not found")</f>
        <v>East</v>
      </c>
      <c r="G171" s="1">
        <v>46024.396527777775</v>
      </c>
      <c r="H171">
        <v>2999</v>
      </c>
      <c r="I171" t="s">
        <v>63</v>
      </c>
      <c r="J171" t="s">
        <v>64</v>
      </c>
      <c r="K171">
        <v>30</v>
      </c>
      <c r="L171">
        <f>IFERROR(HLOOKUP(TRIM(I171), FeeTable!$B$1:$H$2, 2, FALSE) * H171, 0)</f>
        <v>32.988999999999997</v>
      </c>
      <c r="M171" t="str">
        <f t="shared" si="2"/>
        <v>Standard</v>
      </c>
    </row>
    <row r="172" spans="1:13" x14ac:dyDescent="0.3">
      <c r="A172" t="s">
        <v>239</v>
      </c>
      <c r="B172">
        <v>199</v>
      </c>
      <c r="C172">
        <v>30</v>
      </c>
      <c r="D172" t="str">
        <f>IFERROR(VLOOKUP(C172, merchants!$A$2:$D$41, 2, FALSE), "Merchant not found")</f>
        <v>Merchant_030</v>
      </c>
      <c r="E172" t="str">
        <f>IFERROR(VLOOKUP(C172, merchants!$A$2:$D$41, 3, FALSE), "Merchant not found")</f>
        <v>travel</v>
      </c>
      <c r="F172" t="str">
        <f>IFERROR(VLOOKUP(C172, merchants!$A$2:$D$41, 4, FALSE), "Merchant not found")</f>
        <v>West</v>
      </c>
      <c r="G172" s="1">
        <v>46051.713888888888</v>
      </c>
      <c r="H172">
        <v>149</v>
      </c>
      <c r="I172" t="s">
        <v>69</v>
      </c>
      <c r="J172" t="s">
        <v>64</v>
      </c>
      <c r="K172">
        <v>47</v>
      </c>
      <c r="L172">
        <f>IFERROR(HLOOKUP(TRIM(I172), FeeTable!$B$1:$H$2, 2, FALSE) * H172, 0)</f>
        <v>2.2349999999999999</v>
      </c>
      <c r="M172" t="str">
        <f t="shared" si="2"/>
        <v>Standard</v>
      </c>
    </row>
    <row r="173" spans="1:13" x14ac:dyDescent="0.3">
      <c r="A173" t="s">
        <v>240</v>
      </c>
      <c r="B173">
        <v>277</v>
      </c>
      <c r="C173">
        <v>27</v>
      </c>
      <c r="D173" t="str">
        <f>IFERROR(VLOOKUP(C173, merchants!$A$2:$D$41, 2, FALSE), "Merchant not found")</f>
        <v>Merchant_027</v>
      </c>
      <c r="E173" t="str">
        <f>IFERROR(VLOOKUP(C173, merchants!$A$2:$D$41, 3, FALSE), "Merchant not found")</f>
        <v>ecommerce</v>
      </c>
      <c r="F173" t="str">
        <f>IFERROR(VLOOKUP(C173, merchants!$A$2:$D$41, 4, FALSE), "Merchant not found")</f>
        <v>North</v>
      </c>
      <c r="G173" s="1">
        <v>46044.988888888889</v>
      </c>
      <c r="H173">
        <v>49</v>
      </c>
      <c r="I173" t="s">
        <v>66</v>
      </c>
      <c r="J173" t="s">
        <v>64</v>
      </c>
      <c r="K173">
        <v>75</v>
      </c>
      <c r="L173">
        <f>IFERROR(HLOOKUP(TRIM(I173), FeeTable!$B$1:$H$2, 2, FALSE) * H173, 0)</f>
        <v>0</v>
      </c>
      <c r="M173" t="str">
        <f t="shared" si="2"/>
        <v>Standard</v>
      </c>
    </row>
    <row r="174" spans="1:13" x14ac:dyDescent="0.3">
      <c r="A174" t="s">
        <v>241</v>
      </c>
      <c r="B174">
        <v>213</v>
      </c>
      <c r="C174">
        <v>7</v>
      </c>
      <c r="D174" t="str">
        <f>IFERROR(VLOOKUP(C174, merchants!$A$2:$D$41, 2, FALSE), "Merchant not found")</f>
        <v>Merchant_007</v>
      </c>
      <c r="E174" t="str">
        <f>IFERROR(VLOOKUP(C174, merchants!$A$2:$D$41, 3, FALSE), "Merchant not found")</f>
        <v>food_delivery</v>
      </c>
      <c r="F174" t="str">
        <f>IFERROR(VLOOKUP(C174, merchants!$A$2:$D$41, 4, FALSE), "Merchant not found")</f>
        <v>East</v>
      </c>
      <c r="G174" s="1">
        <v>46046.964583333334</v>
      </c>
      <c r="H174">
        <v>799</v>
      </c>
      <c r="I174" t="s">
        <v>69</v>
      </c>
      <c r="J174" t="s">
        <v>64</v>
      </c>
      <c r="K174">
        <v>62</v>
      </c>
      <c r="L174">
        <f>IFERROR(HLOOKUP(TRIM(I174), FeeTable!$B$1:$H$2, 2, FALSE) * H174, 0)</f>
        <v>11.984999999999999</v>
      </c>
      <c r="M174" t="str">
        <f t="shared" si="2"/>
        <v>Standard</v>
      </c>
    </row>
    <row r="175" spans="1:13" x14ac:dyDescent="0.3">
      <c r="A175" t="s">
        <v>242</v>
      </c>
      <c r="B175">
        <v>17</v>
      </c>
      <c r="C175">
        <v>24</v>
      </c>
      <c r="D175" t="str">
        <f>IFERROR(VLOOKUP(C175, merchants!$A$2:$D$41, 2, FALSE), "Merchant not found")</f>
        <v>Merchant_024</v>
      </c>
      <c r="E175" t="str">
        <f>IFERROR(VLOOKUP(C175, merchants!$A$2:$D$41, 3, FALSE), "Merchant not found")</f>
        <v>grocery</v>
      </c>
      <c r="F175" t="str">
        <f>IFERROR(VLOOKUP(C175, merchants!$A$2:$D$41, 4, FALSE), "Merchant not found")</f>
        <v>North</v>
      </c>
      <c r="G175" s="1">
        <v>46042.553472222222</v>
      </c>
      <c r="H175">
        <v>299</v>
      </c>
      <c r="I175" t="s">
        <v>66</v>
      </c>
      <c r="J175" t="s">
        <v>64</v>
      </c>
      <c r="K175">
        <v>27</v>
      </c>
      <c r="L175">
        <f>IFERROR(HLOOKUP(TRIM(I175), FeeTable!$B$1:$H$2, 2, FALSE) * H175, 0)</f>
        <v>0</v>
      </c>
      <c r="M175" t="str">
        <f t="shared" si="2"/>
        <v>Standard</v>
      </c>
    </row>
    <row r="176" spans="1:13" x14ac:dyDescent="0.3">
      <c r="A176" t="s">
        <v>243</v>
      </c>
      <c r="B176">
        <v>186</v>
      </c>
      <c r="C176">
        <v>7</v>
      </c>
      <c r="D176" t="str">
        <f>IFERROR(VLOOKUP(C176, merchants!$A$2:$D$41, 2, FALSE), "Merchant not found")</f>
        <v>Merchant_007</v>
      </c>
      <c r="E176" t="str">
        <f>IFERROR(VLOOKUP(C176, merchants!$A$2:$D$41, 3, FALSE), "Merchant not found")</f>
        <v>food_delivery</v>
      </c>
      <c r="F176" t="str">
        <f>IFERROR(VLOOKUP(C176, merchants!$A$2:$D$41, 4, FALSE), "Merchant not found")</f>
        <v>East</v>
      </c>
      <c r="G176" s="1">
        <v>46037.59375</v>
      </c>
      <c r="H176">
        <v>1499</v>
      </c>
      <c r="I176" t="s">
        <v>78</v>
      </c>
      <c r="J176" t="s">
        <v>79</v>
      </c>
      <c r="K176">
        <v>87</v>
      </c>
      <c r="L176">
        <f>IFERROR(HLOOKUP(TRIM(I176), FeeTable!$B$1:$H$2, 2, FALSE) * H176, 0)</f>
        <v>26.981999999999999</v>
      </c>
      <c r="M176" t="str">
        <f t="shared" si="2"/>
        <v>Standard</v>
      </c>
    </row>
    <row r="177" spans="1:13" x14ac:dyDescent="0.3">
      <c r="A177" t="s">
        <v>244</v>
      </c>
      <c r="B177">
        <v>331</v>
      </c>
      <c r="C177">
        <v>23</v>
      </c>
      <c r="D177" t="str">
        <f>IFERROR(VLOOKUP(C177, merchants!$A$2:$D$41, 2, FALSE), "Merchant not found")</f>
        <v>Merchant_023</v>
      </c>
      <c r="E177" t="str">
        <f>IFERROR(VLOOKUP(C177, merchants!$A$2:$D$41, 3, FALSE), "Merchant not found")</f>
        <v>travel</v>
      </c>
      <c r="F177" t="str">
        <f>IFERROR(VLOOKUP(C177, merchants!$A$2:$D$41, 4, FALSE), "Merchant not found")</f>
        <v>North</v>
      </c>
      <c r="G177" s="1">
        <v>46034.747916666667</v>
      </c>
      <c r="H177">
        <v>149</v>
      </c>
      <c r="I177" t="s">
        <v>66</v>
      </c>
      <c r="J177" t="s">
        <v>64</v>
      </c>
      <c r="K177">
        <v>7</v>
      </c>
      <c r="L177">
        <f>IFERROR(HLOOKUP(TRIM(I177), FeeTable!$B$1:$H$2, 2, FALSE) * H177, 0)</f>
        <v>0</v>
      </c>
      <c r="M177" t="str">
        <f t="shared" si="2"/>
        <v>Standard</v>
      </c>
    </row>
    <row r="178" spans="1:13" x14ac:dyDescent="0.3">
      <c r="A178" t="s">
        <v>245</v>
      </c>
      <c r="B178">
        <v>63</v>
      </c>
      <c r="C178">
        <v>30</v>
      </c>
      <c r="D178" t="str">
        <f>IFERROR(VLOOKUP(C178, merchants!$A$2:$D$41, 2, FALSE), "Merchant not found")</f>
        <v>Merchant_030</v>
      </c>
      <c r="E178" t="str">
        <f>IFERROR(VLOOKUP(C178, merchants!$A$2:$D$41, 3, FALSE), "Merchant not found")</f>
        <v>travel</v>
      </c>
      <c r="F178" t="str">
        <f>IFERROR(VLOOKUP(C178, merchants!$A$2:$D$41, 4, FALSE), "Merchant not found")</f>
        <v>West</v>
      </c>
      <c r="G178" s="1">
        <v>46035.341666666667</v>
      </c>
      <c r="H178">
        <v>1499</v>
      </c>
      <c r="I178" t="s">
        <v>78</v>
      </c>
      <c r="J178" t="s">
        <v>64</v>
      </c>
      <c r="K178">
        <v>11</v>
      </c>
      <c r="L178">
        <f>IFERROR(HLOOKUP(TRIM(I178), FeeTable!$B$1:$H$2, 2, FALSE) * H178, 0)</f>
        <v>26.981999999999999</v>
      </c>
      <c r="M178" t="str">
        <f t="shared" si="2"/>
        <v>Standard</v>
      </c>
    </row>
    <row r="179" spans="1:13" x14ac:dyDescent="0.3">
      <c r="A179" t="s">
        <v>246</v>
      </c>
      <c r="B179">
        <v>328</v>
      </c>
      <c r="C179">
        <v>39</v>
      </c>
      <c r="D179" t="str">
        <f>IFERROR(VLOOKUP(C179, merchants!$A$2:$D$41, 2, FALSE), "Merchant not found")</f>
        <v>Merchant_039</v>
      </c>
      <c r="E179" t="str">
        <f>IFERROR(VLOOKUP(C179, merchants!$A$2:$D$41, 3, FALSE), "Merchant not found")</f>
        <v>entertainment</v>
      </c>
      <c r="F179" t="str">
        <f>IFERROR(VLOOKUP(C179, merchants!$A$2:$D$41, 4, FALSE), "Merchant not found")</f>
        <v>North</v>
      </c>
      <c r="G179" s="1">
        <v>46044.27847222222</v>
      </c>
      <c r="H179">
        <v>4999</v>
      </c>
      <c r="I179" t="s">
        <v>63</v>
      </c>
      <c r="J179" t="s">
        <v>92</v>
      </c>
      <c r="K179">
        <v>2</v>
      </c>
      <c r="L179">
        <f>IFERROR(HLOOKUP(TRIM(I179), FeeTable!$B$1:$H$2, 2, FALSE) * H179, 0)</f>
        <v>54.988999999999997</v>
      </c>
      <c r="M179" t="str">
        <f t="shared" si="2"/>
        <v>Standard</v>
      </c>
    </row>
    <row r="180" spans="1:13" x14ac:dyDescent="0.3">
      <c r="A180" t="s">
        <v>247</v>
      </c>
      <c r="B180">
        <v>65</v>
      </c>
      <c r="C180">
        <v>37</v>
      </c>
      <c r="D180" t="str">
        <f>IFERROR(VLOOKUP(C180, merchants!$A$2:$D$41, 2, FALSE), "Merchant not found")</f>
        <v>Merchant_037</v>
      </c>
      <c r="E180" t="str">
        <f>IFERROR(VLOOKUP(C180, merchants!$A$2:$D$41, 3, FALSE), "Merchant not found")</f>
        <v>entertainment</v>
      </c>
      <c r="F180" t="str">
        <f>IFERROR(VLOOKUP(C180, merchants!$A$2:$D$41, 4, FALSE), "Merchant not found")</f>
        <v>South</v>
      </c>
      <c r="G180" s="1">
        <v>46024.427083333336</v>
      </c>
      <c r="H180">
        <v>2999</v>
      </c>
      <c r="I180" t="s">
        <v>78</v>
      </c>
      <c r="J180" t="s">
        <v>64</v>
      </c>
      <c r="K180">
        <v>26</v>
      </c>
      <c r="L180">
        <f>IFERROR(HLOOKUP(TRIM(I180), FeeTable!$B$1:$H$2, 2, FALSE) * H180, 0)</f>
        <v>53.981999999999999</v>
      </c>
      <c r="M180" t="str">
        <f t="shared" si="2"/>
        <v>Standard</v>
      </c>
    </row>
    <row r="181" spans="1:13" x14ac:dyDescent="0.3">
      <c r="A181" t="s">
        <v>248</v>
      </c>
      <c r="B181">
        <v>301</v>
      </c>
      <c r="C181">
        <v>14</v>
      </c>
      <c r="D181" t="str">
        <f>IFERROR(VLOOKUP(C181, merchants!$A$2:$D$41, 2, FALSE), "Merchant not found")</f>
        <v>Merchant_014</v>
      </c>
      <c r="E181" t="str">
        <f>IFERROR(VLOOKUP(C181, merchants!$A$2:$D$41, 3, FALSE), "Merchant not found")</f>
        <v>grocery</v>
      </c>
      <c r="F181" t="str">
        <f>IFERROR(VLOOKUP(C181, merchants!$A$2:$D$41, 4, FALSE), "Merchant not found")</f>
        <v>East</v>
      </c>
      <c r="G181" s="1">
        <v>46025.717361111114</v>
      </c>
      <c r="H181">
        <v>149</v>
      </c>
      <c r="I181" t="s">
        <v>66</v>
      </c>
      <c r="J181" t="s">
        <v>64</v>
      </c>
      <c r="K181">
        <v>29</v>
      </c>
      <c r="L181">
        <f>IFERROR(HLOOKUP(TRIM(I181), FeeTable!$B$1:$H$2, 2, FALSE) * H181, 0)</f>
        <v>0</v>
      </c>
      <c r="M181" t="str">
        <f t="shared" si="2"/>
        <v>Standard</v>
      </c>
    </row>
    <row r="182" spans="1:13" x14ac:dyDescent="0.3">
      <c r="A182" t="s">
        <v>249</v>
      </c>
      <c r="B182">
        <v>306</v>
      </c>
      <c r="C182">
        <v>1</v>
      </c>
      <c r="D182" t="str">
        <f>IFERROR(VLOOKUP(C182, merchants!$A$2:$D$41, 2, FALSE), "Merchant not found")</f>
        <v>Merchant_001</v>
      </c>
      <c r="E182" t="str">
        <f>IFERROR(VLOOKUP(C182, merchants!$A$2:$D$41, 3, FALSE), "Merchant not found")</f>
        <v>ecommerce</v>
      </c>
      <c r="F182" t="str">
        <f>IFERROR(VLOOKUP(C182, merchants!$A$2:$D$41, 4, FALSE), "Merchant not found")</f>
        <v>South</v>
      </c>
      <c r="G182" s="1">
        <v>46033.201388888891</v>
      </c>
      <c r="H182">
        <v>299</v>
      </c>
      <c r="I182" t="s">
        <v>66</v>
      </c>
      <c r="J182" t="s">
        <v>79</v>
      </c>
      <c r="K182">
        <v>35</v>
      </c>
      <c r="L182">
        <f>IFERROR(HLOOKUP(TRIM(I182), FeeTable!$B$1:$H$2, 2, FALSE) * H182, 0)</f>
        <v>0</v>
      </c>
      <c r="M182" t="str">
        <f t="shared" si="2"/>
        <v>Standard</v>
      </c>
    </row>
    <row r="183" spans="1:13" x14ac:dyDescent="0.3">
      <c r="A183" t="s">
        <v>250</v>
      </c>
      <c r="B183">
        <v>277</v>
      </c>
      <c r="C183">
        <v>17</v>
      </c>
      <c r="D183" t="str">
        <f>IFERROR(VLOOKUP(C183, merchants!$A$2:$D$41, 2, FALSE), "Merchant not found")</f>
        <v>Merchant_017</v>
      </c>
      <c r="E183" t="str">
        <f>IFERROR(VLOOKUP(C183, merchants!$A$2:$D$41, 3, FALSE), "Merchant not found")</f>
        <v>grocery</v>
      </c>
      <c r="F183" t="str">
        <f>IFERROR(VLOOKUP(C183, merchants!$A$2:$D$41, 4, FALSE), "Merchant not found")</f>
        <v>North</v>
      </c>
      <c r="G183" s="1">
        <v>46050.172222222223</v>
      </c>
      <c r="H183">
        <v>299</v>
      </c>
      <c r="I183" t="s">
        <v>66</v>
      </c>
      <c r="J183" t="s">
        <v>64</v>
      </c>
      <c r="K183">
        <v>22</v>
      </c>
      <c r="L183">
        <f>IFERROR(HLOOKUP(TRIM(I183), FeeTable!$B$1:$H$2, 2, FALSE) * H183, 0)</f>
        <v>0</v>
      </c>
      <c r="M183" t="str">
        <f t="shared" si="2"/>
        <v>Standard</v>
      </c>
    </row>
    <row r="184" spans="1:13" x14ac:dyDescent="0.3">
      <c r="A184" t="s">
        <v>251</v>
      </c>
      <c r="B184">
        <v>14</v>
      </c>
      <c r="C184">
        <v>9</v>
      </c>
      <c r="D184" t="str">
        <f>IFERROR(VLOOKUP(C184, merchants!$A$2:$D$41, 2, FALSE), "Merchant not found")</f>
        <v>Merchant_009</v>
      </c>
      <c r="E184" t="str">
        <f>IFERROR(VLOOKUP(C184, merchants!$A$2:$D$41, 3, FALSE), "Merchant not found")</f>
        <v>ecommerce</v>
      </c>
      <c r="F184" t="str">
        <f>IFERROR(VLOOKUP(C184, merchants!$A$2:$D$41, 4, FALSE), "Merchant not found")</f>
        <v>North</v>
      </c>
      <c r="G184" s="1">
        <v>46026.913194444445</v>
      </c>
      <c r="H184">
        <v>499</v>
      </c>
      <c r="I184" t="s">
        <v>66</v>
      </c>
      <c r="J184" t="s">
        <v>64</v>
      </c>
      <c r="K184">
        <v>1</v>
      </c>
      <c r="L184">
        <f>IFERROR(HLOOKUP(TRIM(I184), FeeTable!$B$1:$H$2, 2, FALSE) * H184, 0)</f>
        <v>0</v>
      </c>
      <c r="M184" t="str">
        <f t="shared" si="2"/>
        <v>Standard</v>
      </c>
    </row>
    <row r="185" spans="1:13" x14ac:dyDescent="0.3">
      <c r="A185" t="s">
        <v>252</v>
      </c>
      <c r="B185">
        <v>166</v>
      </c>
      <c r="C185">
        <v>2</v>
      </c>
      <c r="D185" t="str">
        <f>IFERROR(VLOOKUP(C185, merchants!$A$2:$D$41, 2, FALSE), "Merchant not found")</f>
        <v>Merchant_002</v>
      </c>
      <c r="E185" t="str">
        <f>IFERROR(VLOOKUP(C185, merchants!$A$2:$D$41, 3, FALSE), "Merchant not found")</f>
        <v>grocery</v>
      </c>
      <c r="F185" t="str">
        <f>IFERROR(VLOOKUP(C185, merchants!$A$2:$D$41, 4, FALSE), "Merchant not found")</f>
        <v>West</v>
      </c>
      <c r="G185" s="1">
        <v>46034.317361111112</v>
      </c>
      <c r="H185">
        <v>299</v>
      </c>
      <c r="I185" t="s">
        <v>78</v>
      </c>
      <c r="J185" t="s">
        <v>64</v>
      </c>
      <c r="K185">
        <v>22</v>
      </c>
      <c r="L185">
        <f>IFERROR(HLOOKUP(TRIM(I185), FeeTable!$B$1:$H$2, 2, FALSE) * H185, 0)</f>
        <v>5.3819999999999997</v>
      </c>
      <c r="M185" t="str">
        <f t="shared" si="2"/>
        <v>Standard</v>
      </c>
    </row>
    <row r="186" spans="1:13" x14ac:dyDescent="0.3">
      <c r="A186" t="s">
        <v>253</v>
      </c>
      <c r="B186">
        <v>216</v>
      </c>
      <c r="C186">
        <v>34</v>
      </c>
      <c r="D186" t="str">
        <f>IFERROR(VLOOKUP(C186, merchants!$A$2:$D$41, 2, FALSE), "Merchant not found")</f>
        <v>Merchant_034</v>
      </c>
      <c r="E186" t="str">
        <f>IFERROR(VLOOKUP(C186, merchants!$A$2:$D$41, 3, FALSE), "Merchant not found")</f>
        <v>travel</v>
      </c>
      <c r="F186" t="str">
        <f>IFERROR(VLOOKUP(C186, merchants!$A$2:$D$41, 4, FALSE), "Merchant not found")</f>
        <v>South</v>
      </c>
      <c r="G186" s="1">
        <v>46031.047222222223</v>
      </c>
      <c r="H186">
        <v>299</v>
      </c>
      <c r="I186" t="s">
        <v>78</v>
      </c>
      <c r="J186" t="s">
        <v>64</v>
      </c>
      <c r="K186">
        <v>14</v>
      </c>
      <c r="L186">
        <f>IFERROR(HLOOKUP(TRIM(I186), FeeTable!$B$1:$H$2, 2, FALSE) * H186, 0)</f>
        <v>5.3819999999999997</v>
      </c>
      <c r="M186" t="str">
        <f t="shared" si="2"/>
        <v>Standard</v>
      </c>
    </row>
    <row r="187" spans="1:13" x14ac:dyDescent="0.3">
      <c r="A187" t="s">
        <v>254</v>
      </c>
      <c r="B187">
        <v>230</v>
      </c>
      <c r="C187">
        <v>24</v>
      </c>
      <c r="D187" t="str">
        <f>IFERROR(VLOOKUP(C187, merchants!$A$2:$D$41, 2, FALSE), "Merchant not found")</f>
        <v>Merchant_024</v>
      </c>
      <c r="E187" t="str">
        <f>IFERROR(VLOOKUP(C187, merchants!$A$2:$D$41, 3, FALSE), "Merchant not found")</f>
        <v>grocery</v>
      </c>
      <c r="F187" t="str">
        <f>IFERROR(VLOOKUP(C187, merchants!$A$2:$D$41, 4, FALSE), "Merchant not found")</f>
        <v>North</v>
      </c>
      <c r="G187" s="1">
        <v>46046.104166666664</v>
      </c>
      <c r="H187">
        <v>49</v>
      </c>
      <c r="I187" t="s">
        <v>66</v>
      </c>
      <c r="J187" t="s">
        <v>64</v>
      </c>
      <c r="K187">
        <v>65</v>
      </c>
      <c r="L187">
        <f>IFERROR(HLOOKUP(TRIM(I187), FeeTable!$B$1:$H$2, 2, FALSE) * H187, 0)</f>
        <v>0</v>
      </c>
      <c r="M187" t="str">
        <f t="shared" si="2"/>
        <v>Standard</v>
      </c>
    </row>
    <row r="188" spans="1:13" x14ac:dyDescent="0.3">
      <c r="A188" t="s">
        <v>255</v>
      </c>
      <c r="B188">
        <v>258</v>
      </c>
      <c r="C188">
        <v>15</v>
      </c>
      <c r="D188" t="str">
        <f>IFERROR(VLOOKUP(C188, merchants!$A$2:$D$41, 2, FALSE), "Merchant not found")</f>
        <v>Merchant_015</v>
      </c>
      <c r="E188" t="str">
        <f>IFERROR(VLOOKUP(C188, merchants!$A$2:$D$41, 3, FALSE), "Merchant not found")</f>
        <v>travel</v>
      </c>
      <c r="F188" t="str">
        <f>IFERROR(VLOOKUP(C188, merchants!$A$2:$D$41, 4, FALSE), "Merchant not found")</f>
        <v>North</v>
      </c>
      <c r="G188" s="1">
        <v>46041.144444444442</v>
      </c>
      <c r="H188">
        <v>499</v>
      </c>
      <c r="I188" t="s">
        <v>63</v>
      </c>
      <c r="J188" t="s">
        <v>64</v>
      </c>
      <c r="K188">
        <v>78</v>
      </c>
      <c r="L188">
        <f>IFERROR(HLOOKUP(TRIM(I188), FeeTable!$B$1:$H$2, 2, FALSE) * H188, 0)</f>
        <v>5.4889999999999999</v>
      </c>
      <c r="M188" t="str">
        <f t="shared" si="2"/>
        <v>Standard</v>
      </c>
    </row>
    <row r="189" spans="1:13" x14ac:dyDescent="0.3">
      <c r="A189" t="s">
        <v>256</v>
      </c>
      <c r="B189">
        <v>338</v>
      </c>
      <c r="C189">
        <v>34</v>
      </c>
      <c r="D189" t="str">
        <f>IFERROR(VLOOKUP(C189, merchants!$A$2:$D$41, 2, FALSE), "Merchant not found")</f>
        <v>Merchant_034</v>
      </c>
      <c r="E189" t="str">
        <f>IFERROR(VLOOKUP(C189, merchants!$A$2:$D$41, 3, FALSE), "Merchant not found")</f>
        <v>travel</v>
      </c>
      <c r="F189" t="str">
        <f>IFERROR(VLOOKUP(C189, merchants!$A$2:$D$41, 4, FALSE), "Merchant not found")</f>
        <v>South</v>
      </c>
      <c r="G189" s="1">
        <v>46024.993055555555</v>
      </c>
      <c r="H189">
        <v>49</v>
      </c>
      <c r="I189" t="s">
        <v>66</v>
      </c>
      <c r="J189" t="s">
        <v>64</v>
      </c>
      <c r="K189">
        <v>38</v>
      </c>
      <c r="L189">
        <f>IFERROR(HLOOKUP(TRIM(I189), FeeTable!$B$1:$H$2, 2, FALSE) * H189, 0)</f>
        <v>0</v>
      </c>
      <c r="M189" t="str">
        <f t="shared" si="2"/>
        <v>Standard</v>
      </c>
    </row>
    <row r="190" spans="1:13" x14ac:dyDescent="0.3">
      <c r="A190" t="s">
        <v>257</v>
      </c>
      <c r="B190">
        <v>32</v>
      </c>
      <c r="C190">
        <v>31</v>
      </c>
      <c r="D190" t="str">
        <f>IFERROR(VLOOKUP(C190, merchants!$A$2:$D$41, 2, FALSE), "Merchant not found")</f>
        <v>Merchant_031</v>
      </c>
      <c r="E190" t="str">
        <f>IFERROR(VLOOKUP(C190, merchants!$A$2:$D$41, 3, FALSE), "Merchant not found")</f>
        <v>bill_payment</v>
      </c>
      <c r="F190" t="str">
        <f>IFERROR(VLOOKUP(C190, merchants!$A$2:$D$41, 4, FALSE), "Merchant not found")</f>
        <v>East</v>
      </c>
      <c r="G190" s="1">
        <v>46037.834027777775</v>
      </c>
      <c r="H190">
        <v>299</v>
      </c>
      <c r="I190" t="s">
        <v>66</v>
      </c>
      <c r="J190" t="s">
        <v>64</v>
      </c>
      <c r="K190">
        <v>51</v>
      </c>
      <c r="L190">
        <f>IFERROR(HLOOKUP(TRIM(I190), FeeTable!$B$1:$H$2, 2, FALSE) * H190, 0)</f>
        <v>0</v>
      </c>
      <c r="M190" t="str">
        <f t="shared" si="2"/>
        <v>Standard</v>
      </c>
    </row>
    <row r="191" spans="1:13" x14ac:dyDescent="0.3">
      <c r="A191" t="s">
        <v>258</v>
      </c>
      <c r="B191">
        <v>252</v>
      </c>
      <c r="C191">
        <v>29</v>
      </c>
      <c r="D191" t="str">
        <f>IFERROR(VLOOKUP(C191, merchants!$A$2:$D$41, 2, FALSE), "Merchant not found")</f>
        <v>Merchant_029</v>
      </c>
      <c r="E191" t="str">
        <f>IFERROR(VLOOKUP(C191, merchants!$A$2:$D$41, 3, FALSE), "Merchant not found")</f>
        <v>ecommerce</v>
      </c>
      <c r="F191" t="str">
        <f>IFERROR(VLOOKUP(C191, merchants!$A$2:$D$41, 4, FALSE), "Merchant not found")</f>
        <v>North</v>
      </c>
      <c r="G191" s="1">
        <v>46036.879166666666</v>
      </c>
      <c r="H191">
        <v>1499</v>
      </c>
      <c r="I191" t="s">
        <v>66</v>
      </c>
      <c r="J191" t="s">
        <v>64</v>
      </c>
      <c r="K191">
        <v>9</v>
      </c>
      <c r="L191">
        <f>IFERROR(HLOOKUP(TRIM(I191), FeeTable!$B$1:$H$2, 2, FALSE) * H191, 0)</f>
        <v>0</v>
      </c>
      <c r="M191" t="str">
        <f t="shared" si="2"/>
        <v>Standard</v>
      </c>
    </row>
    <row r="192" spans="1:13" x14ac:dyDescent="0.3">
      <c r="A192" t="s">
        <v>259</v>
      </c>
      <c r="B192">
        <v>312</v>
      </c>
      <c r="C192">
        <v>10</v>
      </c>
      <c r="D192" t="str">
        <f>IFERROR(VLOOKUP(C192, merchants!$A$2:$D$41, 2, FALSE), "Merchant not found")</f>
        <v>Merchant_010</v>
      </c>
      <c r="E192" t="str">
        <f>IFERROR(VLOOKUP(C192, merchants!$A$2:$D$41, 3, FALSE), "Merchant not found")</f>
        <v>grocery</v>
      </c>
      <c r="F192" t="str">
        <f>IFERROR(VLOOKUP(C192, merchants!$A$2:$D$41, 4, FALSE), "Merchant not found")</f>
        <v>West</v>
      </c>
      <c r="G192" s="1">
        <v>46051.097222222219</v>
      </c>
      <c r="H192">
        <v>799</v>
      </c>
      <c r="I192" t="s">
        <v>66</v>
      </c>
      <c r="J192" t="s">
        <v>64</v>
      </c>
      <c r="K192">
        <v>8</v>
      </c>
      <c r="L192">
        <f>IFERROR(HLOOKUP(TRIM(I192), FeeTable!$B$1:$H$2, 2, FALSE) * H192, 0)</f>
        <v>0</v>
      </c>
      <c r="M192" t="str">
        <f t="shared" si="2"/>
        <v>Standard</v>
      </c>
    </row>
    <row r="193" spans="1:13" x14ac:dyDescent="0.3">
      <c r="A193" t="s">
        <v>260</v>
      </c>
      <c r="B193">
        <v>325</v>
      </c>
      <c r="C193">
        <v>38</v>
      </c>
      <c r="D193" t="str">
        <f>IFERROR(VLOOKUP(C193, merchants!$A$2:$D$41, 2, FALSE), "Merchant not found")</f>
        <v>Merchant_038</v>
      </c>
      <c r="E193" t="str">
        <f>IFERROR(VLOOKUP(C193, merchants!$A$2:$D$41, 3, FALSE), "Merchant not found")</f>
        <v>grocery</v>
      </c>
      <c r="F193" t="str">
        <f>IFERROR(VLOOKUP(C193, merchants!$A$2:$D$41, 4, FALSE), "Merchant not found")</f>
        <v>East</v>
      </c>
      <c r="G193" s="1">
        <v>46027.36041666667</v>
      </c>
      <c r="H193">
        <v>1499</v>
      </c>
      <c r="I193" t="s">
        <v>69</v>
      </c>
      <c r="J193" t="s">
        <v>64</v>
      </c>
      <c r="K193">
        <v>70</v>
      </c>
      <c r="L193">
        <f>IFERROR(HLOOKUP(TRIM(I193), FeeTable!$B$1:$H$2, 2, FALSE) * H193, 0)</f>
        <v>22.484999999999999</v>
      </c>
      <c r="M193" t="str">
        <f t="shared" si="2"/>
        <v>Standard</v>
      </c>
    </row>
    <row r="194" spans="1:13" x14ac:dyDescent="0.3">
      <c r="A194" t="s">
        <v>261</v>
      </c>
      <c r="B194">
        <v>306</v>
      </c>
      <c r="C194">
        <v>34</v>
      </c>
      <c r="D194" t="str">
        <f>IFERROR(VLOOKUP(C194, merchants!$A$2:$D$41, 2, FALSE), "Merchant not found")</f>
        <v>Merchant_034</v>
      </c>
      <c r="E194" t="str">
        <f>IFERROR(VLOOKUP(C194, merchants!$A$2:$D$41, 3, FALSE), "Merchant not found")</f>
        <v>travel</v>
      </c>
      <c r="F194" t="str">
        <f>IFERROR(VLOOKUP(C194, merchants!$A$2:$D$41, 4, FALSE), "Merchant not found")</f>
        <v>South</v>
      </c>
      <c r="G194" s="1">
        <v>46045.433333333334</v>
      </c>
      <c r="H194">
        <v>2999</v>
      </c>
      <c r="I194" t="s">
        <v>66</v>
      </c>
      <c r="J194" t="s">
        <v>64</v>
      </c>
      <c r="K194">
        <v>37</v>
      </c>
      <c r="L194">
        <f>IFERROR(HLOOKUP(TRIM(I194), FeeTable!$B$1:$H$2, 2, FALSE) * H194, 0)</f>
        <v>0</v>
      </c>
      <c r="M194" t="str">
        <f t="shared" si="2"/>
        <v>Standard</v>
      </c>
    </row>
    <row r="195" spans="1:13" x14ac:dyDescent="0.3">
      <c r="A195" t="s">
        <v>262</v>
      </c>
      <c r="B195">
        <v>221</v>
      </c>
      <c r="C195">
        <v>7</v>
      </c>
      <c r="D195" t="str">
        <f>IFERROR(VLOOKUP(C195, merchants!$A$2:$D$41, 2, FALSE), "Merchant not found")</f>
        <v>Merchant_007</v>
      </c>
      <c r="E195" t="str">
        <f>IFERROR(VLOOKUP(C195, merchants!$A$2:$D$41, 3, FALSE), "Merchant not found")</f>
        <v>food_delivery</v>
      </c>
      <c r="F195" t="str">
        <f>IFERROR(VLOOKUP(C195, merchants!$A$2:$D$41, 4, FALSE), "Merchant not found")</f>
        <v>East</v>
      </c>
      <c r="G195" s="1">
        <v>46037.693055555559</v>
      </c>
      <c r="H195">
        <v>149</v>
      </c>
      <c r="I195" t="s">
        <v>69</v>
      </c>
      <c r="J195" t="s">
        <v>64</v>
      </c>
      <c r="K195">
        <v>89</v>
      </c>
      <c r="L195">
        <f>IFERROR(HLOOKUP(TRIM(I195), FeeTable!$B$1:$H$2, 2, FALSE) * H195, 0)</f>
        <v>2.2349999999999999</v>
      </c>
      <c r="M195" t="str">
        <f t="shared" ref="M195:M258" si="3">IF(AND(H195 &gt; 5000, F195 &lt;&gt; "East"), "High-Value Merchant Day", "Standard")</f>
        <v>Standard</v>
      </c>
    </row>
    <row r="196" spans="1:13" x14ac:dyDescent="0.3">
      <c r="A196" t="s">
        <v>263</v>
      </c>
      <c r="B196">
        <v>283</v>
      </c>
      <c r="C196">
        <v>14</v>
      </c>
      <c r="D196" t="str">
        <f>IFERROR(VLOOKUP(C196, merchants!$A$2:$D$41, 2, FALSE), "Merchant not found")</f>
        <v>Merchant_014</v>
      </c>
      <c r="E196" t="str">
        <f>IFERROR(VLOOKUP(C196, merchants!$A$2:$D$41, 3, FALSE), "Merchant not found")</f>
        <v>grocery</v>
      </c>
      <c r="F196" t="str">
        <f>IFERROR(VLOOKUP(C196, merchants!$A$2:$D$41, 4, FALSE), "Merchant not found")</f>
        <v>East</v>
      </c>
      <c r="G196" s="1">
        <v>46026.861805555556</v>
      </c>
      <c r="H196">
        <v>99</v>
      </c>
      <c r="I196" t="s">
        <v>63</v>
      </c>
      <c r="J196" t="s">
        <v>64</v>
      </c>
      <c r="K196">
        <v>55</v>
      </c>
      <c r="L196">
        <f>IFERROR(HLOOKUP(TRIM(I196), FeeTable!$B$1:$H$2, 2, FALSE) * H196, 0)</f>
        <v>1.089</v>
      </c>
      <c r="M196" t="str">
        <f t="shared" si="3"/>
        <v>Standard</v>
      </c>
    </row>
    <row r="197" spans="1:13" x14ac:dyDescent="0.3">
      <c r="A197" t="s">
        <v>264</v>
      </c>
      <c r="B197">
        <v>174</v>
      </c>
      <c r="C197">
        <v>30</v>
      </c>
      <c r="D197" t="str">
        <f>IFERROR(VLOOKUP(C197, merchants!$A$2:$D$41, 2, FALSE), "Merchant not found")</f>
        <v>Merchant_030</v>
      </c>
      <c r="E197" t="str">
        <f>IFERROR(VLOOKUP(C197, merchants!$A$2:$D$41, 3, FALSE), "Merchant not found")</f>
        <v>travel</v>
      </c>
      <c r="F197" t="str">
        <f>IFERROR(VLOOKUP(C197, merchants!$A$2:$D$41, 4, FALSE), "Merchant not found")</f>
        <v>West</v>
      </c>
      <c r="G197" s="1">
        <v>46037.30972222222</v>
      </c>
      <c r="H197">
        <v>49</v>
      </c>
      <c r="I197" t="s">
        <v>66</v>
      </c>
      <c r="J197" t="s">
        <v>64</v>
      </c>
      <c r="K197">
        <v>51</v>
      </c>
      <c r="L197">
        <f>IFERROR(HLOOKUP(TRIM(I197), FeeTable!$B$1:$H$2, 2, FALSE) * H197, 0)</f>
        <v>0</v>
      </c>
      <c r="M197" t="str">
        <f t="shared" si="3"/>
        <v>Standard</v>
      </c>
    </row>
    <row r="198" spans="1:13" x14ac:dyDescent="0.3">
      <c r="A198" t="s">
        <v>265</v>
      </c>
      <c r="B198">
        <v>161</v>
      </c>
      <c r="C198">
        <v>28</v>
      </c>
      <c r="D198" t="str">
        <f>IFERROR(VLOOKUP(C198, merchants!$A$2:$D$41, 2, FALSE), "Merchant not found")</f>
        <v>Merchant_028</v>
      </c>
      <c r="E198" t="str">
        <f>IFERROR(VLOOKUP(C198, merchants!$A$2:$D$41, 3, FALSE), "Merchant not found")</f>
        <v>ecommerce</v>
      </c>
      <c r="F198" t="str">
        <f>IFERROR(VLOOKUP(C198, merchants!$A$2:$D$41, 4, FALSE), "Merchant not found")</f>
        <v>South</v>
      </c>
      <c r="G198" s="1">
        <v>46036.962500000001</v>
      </c>
      <c r="H198">
        <v>49</v>
      </c>
      <c r="I198" t="s">
        <v>66</v>
      </c>
      <c r="J198" t="s">
        <v>64</v>
      </c>
      <c r="K198">
        <v>40</v>
      </c>
      <c r="L198">
        <f>IFERROR(HLOOKUP(TRIM(I198), FeeTable!$B$1:$H$2, 2, FALSE) * H198, 0)</f>
        <v>0</v>
      </c>
      <c r="M198" t="str">
        <f t="shared" si="3"/>
        <v>Standard</v>
      </c>
    </row>
    <row r="199" spans="1:13" x14ac:dyDescent="0.3">
      <c r="A199" t="s">
        <v>266</v>
      </c>
      <c r="B199">
        <v>79</v>
      </c>
      <c r="C199">
        <v>31</v>
      </c>
      <c r="D199" t="str">
        <f>IFERROR(VLOOKUP(C199, merchants!$A$2:$D$41, 2, FALSE), "Merchant not found")</f>
        <v>Merchant_031</v>
      </c>
      <c r="E199" t="str">
        <f>IFERROR(VLOOKUP(C199, merchants!$A$2:$D$41, 3, FALSE), "Merchant not found")</f>
        <v>bill_payment</v>
      </c>
      <c r="F199" t="str">
        <f>IFERROR(VLOOKUP(C199, merchants!$A$2:$D$41, 4, FALSE), "Merchant not found")</f>
        <v>East</v>
      </c>
      <c r="G199" s="1">
        <v>46044.349305555559</v>
      </c>
      <c r="H199">
        <v>99</v>
      </c>
      <c r="I199" t="s">
        <v>66</v>
      </c>
      <c r="J199" t="s">
        <v>64</v>
      </c>
      <c r="K199">
        <v>8</v>
      </c>
      <c r="L199">
        <f>IFERROR(HLOOKUP(TRIM(I199), FeeTable!$B$1:$H$2, 2, FALSE) * H199, 0)</f>
        <v>0</v>
      </c>
      <c r="M199" t="str">
        <f t="shared" si="3"/>
        <v>Standard</v>
      </c>
    </row>
    <row r="200" spans="1:13" x14ac:dyDescent="0.3">
      <c r="A200" t="s">
        <v>267</v>
      </c>
      <c r="B200">
        <v>222</v>
      </c>
      <c r="C200">
        <v>7</v>
      </c>
      <c r="D200" t="str">
        <f>IFERROR(VLOOKUP(C200, merchants!$A$2:$D$41, 2, FALSE), "Merchant not found")</f>
        <v>Merchant_007</v>
      </c>
      <c r="E200" t="str">
        <f>IFERROR(VLOOKUP(C200, merchants!$A$2:$D$41, 3, FALSE), "Merchant not found")</f>
        <v>food_delivery</v>
      </c>
      <c r="F200" t="str">
        <f>IFERROR(VLOOKUP(C200, merchants!$A$2:$D$41, 4, FALSE), "Merchant not found")</f>
        <v>East</v>
      </c>
      <c r="G200" s="1">
        <v>46025.086805555555</v>
      </c>
      <c r="H200">
        <v>149</v>
      </c>
      <c r="I200" t="s">
        <v>63</v>
      </c>
      <c r="J200" t="s">
        <v>64</v>
      </c>
      <c r="K200">
        <v>95</v>
      </c>
      <c r="L200">
        <f>IFERROR(HLOOKUP(TRIM(I200), FeeTable!$B$1:$H$2, 2, FALSE) * H200, 0)</f>
        <v>1.639</v>
      </c>
      <c r="M200" t="str">
        <f t="shared" si="3"/>
        <v>Standard</v>
      </c>
    </row>
    <row r="201" spans="1:13" x14ac:dyDescent="0.3">
      <c r="A201" t="s">
        <v>268</v>
      </c>
      <c r="B201">
        <v>67</v>
      </c>
      <c r="C201">
        <v>36</v>
      </c>
      <c r="D201" t="str">
        <f>IFERROR(VLOOKUP(C201, merchants!$A$2:$D$41, 2, FALSE), "Merchant not found")</f>
        <v>Merchant_036</v>
      </c>
      <c r="E201" t="str">
        <f>IFERROR(VLOOKUP(C201, merchants!$A$2:$D$41, 3, FALSE), "Merchant not found")</f>
        <v>entertainment</v>
      </c>
      <c r="F201" t="str">
        <f>IFERROR(VLOOKUP(C201, merchants!$A$2:$D$41, 4, FALSE), "Merchant not found")</f>
        <v>East</v>
      </c>
      <c r="G201" s="1">
        <v>46046.493750000001</v>
      </c>
      <c r="H201">
        <v>99</v>
      </c>
      <c r="I201" t="s">
        <v>66</v>
      </c>
      <c r="J201" t="s">
        <v>64</v>
      </c>
      <c r="K201">
        <v>7</v>
      </c>
      <c r="L201">
        <f>IFERROR(HLOOKUP(TRIM(I201), FeeTable!$B$1:$H$2, 2, FALSE) * H201, 0)</f>
        <v>0</v>
      </c>
      <c r="M201" t="str">
        <f t="shared" si="3"/>
        <v>Standard</v>
      </c>
    </row>
    <row r="202" spans="1:13" x14ac:dyDescent="0.3">
      <c r="A202" t="s">
        <v>269</v>
      </c>
      <c r="B202">
        <v>169</v>
      </c>
      <c r="C202">
        <v>8</v>
      </c>
      <c r="D202" t="str">
        <f>IFERROR(VLOOKUP(C202, merchants!$A$2:$D$41, 2, FALSE), "Merchant not found")</f>
        <v>Merchant_008</v>
      </c>
      <c r="E202" t="str">
        <f>IFERROR(VLOOKUP(C202, merchants!$A$2:$D$41, 3, FALSE), "Merchant not found")</f>
        <v>food_delivery</v>
      </c>
      <c r="F202" t="str">
        <f>IFERROR(VLOOKUP(C202, merchants!$A$2:$D$41, 4, FALSE), "Merchant not found")</f>
        <v>North</v>
      </c>
      <c r="G202" s="1">
        <v>46041.732638888891</v>
      </c>
      <c r="H202">
        <v>99</v>
      </c>
      <c r="I202" t="s">
        <v>66</v>
      </c>
      <c r="J202" t="s">
        <v>64</v>
      </c>
      <c r="K202">
        <v>52</v>
      </c>
      <c r="L202">
        <f>IFERROR(HLOOKUP(TRIM(I202), FeeTable!$B$1:$H$2, 2, FALSE) * H202, 0)</f>
        <v>0</v>
      </c>
      <c r="M202" t="str">
        <f t="shared" si="3"/>
        <v>Standard</v>
      </c>
    </row>
    <row r="203" spans="1:13" x14ac:dyDescent="0.3">
      <c r="A203" t="s">
        <v>270</v>
      </c>
      <c r="B203">
        <v>217</v>
      </c>
      <c r="C203">
        <v>4</v>
      </c>
      <c r="D203" t="str">
        <f>IFERROR(VLOOKUP(C203, merchants!$A$2:$D$41, 2, FALSE), "Merchant not found")</f>
        <v>Merchant_004</v>
      </c>
      <c r="E203" t="str">
        <f>IFERROR(VLOOKUP(C203, merchants!$A$2:$D$41, 3, FALSE), "Merchant not found")</f>
        <v>ecommerce</v>
      </c>
      <c r="F203" t="str">
        <f>IFERROR(VLOOKUP(C203, merchants!$A$2:$D$41, 4, FALSE), "Merchant not found")</f>
        <v>East</v>
      </c>
      <c r="G203" s="1">
        <v>46034.908333333333</v>
      </c>
      <c r="H203">
        <v>49</v>
      </c>
      <c r="I203" t="s">
        <v>66</v>
      </c>
      <c r="J203" t="s">
        <v>64</v>
      </c>
      <c r="K203">
        <v>36</v>
      </c>
      <c r="L203">
        <f>IFERROR(HLOOKUP(TRIM(I203), FeeTable!$B$1:$H$2, 2, FALSE) * H203, 0)</f>
        <v>0</v>
      </c>
      <c r="M203" t="str">
        <f t="shared" si="3"/>
        <v>Standard</v>
      </c>
    </row>
    <row r="204" spans="1:13" x14ac:dyDescent="0.3">
      <c r="A204" t="s">
        <v>271</v>
      </c>
      <c r="B204">
        <v>54</v>
      </c>
      <c r="C204">
        <v>37</v>
      </c>
      <c r="D204" t="str">
        <f>IFERROR(VLOOKUP(C204, merchants!$A$2:$D$41, 2, FALSE), "Merchant not found")</f>
        <v>Merchant_037</v>
      </c>
      <c r="E204" t="str">
        <f>IFERROR(VLOOKUP(C204, merchants!$A$2:$D$41, 3, FALSE), "Merchant not found")</f>
        <v>entertainment</v>
      </c>
      <c r="F204" t="str">
        <f>IFERROR(VLOOKUP(C204, merchants!$A$2:$D$41, 4, FALSE), "Merchant not found")</f>
        <v>South</v>
      </c>
      <c r="G204" s="1">
        <v>46042.390277777777</v>
      </c>
      <c r="H204">
        <v>149</v>
      </c>
      <c r="I204" t="s">
        <v>66</v>
      </c>
      <c r="J204" t="s">
        <v>64</v>
      </c>
      <c r="K204">
        <v>64</v>
      </c>
      <c r="L204">
        <f>IFERROR(HLOOKUP(TRIM(I204), FeeTable!$B$1:$H$2, 2, FALSE) * H204, 0)</f>
        <v>0</v>
      </c>
      <c r="M204" t="str">
        <f t="shared" si="3"/>
        <v>Standard</v>
      </c>
    </row>
    <row r="205" spans="1:13" x14ac:dyDescent="0.3">
      <c r="A205" t="s">
        <v>272</v>
      </c>
      <c r="B205">
        <v>247</v>
      </c>
      <c r="C205">
        <v>15</v>
      </c>
      <c r="D205" t="str">
        <f>IFERROR(VLOOKUP(C205, merchants!$A$2:$D$41, 2, FALSE), "Merchant not found")</f>
        <v>Merchant_015</v>
      </c>
      <c r="E205" t="str">
        <f>IFERROR(VLOOKUP(C205, merchants!$A$2:$D$41, 3, FALSE), "Merchant not found")</f>
        <v>travel</v>
      </c>
      <c r="F205" t="str">
        <f>IFERROR(VLOOKUP(C205, merchants!$A$2:$D$41, 4, FALSE), "Merchant not found")</f>
        <v>North</v>
      </c>
      <c r="G205" s="1">
        <v>46029.195833333331</v>
      </c>
      <c r="H205">
        <v>49</v>
      </c>
      <c r="I205" t="s">
        <v>78</v>
      </c>
      <c r="J205" t="s">
        <v>64</v>
      </c>
      <c r="K205">
        <v>13</v>
      </c>
      <c r="L205">
        <f>IFERROR(HLOOKUP(TRIM(I205), FeeTable!$B$1:$H$2, 2, FALSE) * H205, 0)</f>
        <v>0.8819999999999999</v>
      </c>
      <c r="M205" t="str">
        <f t="shared" si="3"/>
        <v>Standard</v>
      </c>
    </row>
    <row r="206" spans="1:13" x14ac:dyDescent="0.3">
      <c r="A206" t="s">
        <v>273</v>
      </c>
      <c r="B206">
        <v>59</v>
      </c>
      <c r="C206">
        <v>18</v>
      </c>
      <c r="D206" t="str">
        <f>IFERROR(VLOOKUP(C206, merchants!$A$2:$D$41, 2, FALSE), "Merchant not found")</f>
        <v>Merchant_018</v>
      </c>
      <c r="E206" t="str">
        <f>IFERROR(VLOOKUP(C206, merchants!$A$2:$D$41, 3, FALSE), "Merchant not found")</f>
        <v>grocery</v>
      </c>
      <c r="F206" t="str">
        <f>IFERROR(VLOOKUP(C206, merchants!$A$2:$D$41, 4, FALSE), "Merchant not found")</f>
        <v>West</v>
      </c>
      <c r="G206" s="1">
        <v>46034.724305555559</v>
      </c>
      <c r="H206">
        <v>49</v>
      </c>
      <c r="I206" t="s">
        <v>78</v>
      </c>
      <c r="J206" t="s">
        <v>64</v>
      </c>
      <c r="K206">
        <v>73</v>
      </c>
      <c r="L206">
        <f>IFERROR(HLOOKUP(TRIM(I206), FeeTable!$B$1:$H$2, 2, FALSE) * H206, 0)</f>
        <v>0.8819999999999999</v>
      </c>
      <c r="M206" t="str">
        <f t="shared" si="3"/>
        <v>Standard</v>
      </c>
    </row>
    <row r="207" spans="1:13" x14ac:dyDescent="0.3">
      <c r="A207" t="s">
        <v>274</v>
      </c>
      <c r="B207">
        <v>288</v>
      </c>
      <c r="C207">
        <v>40</v>
      </c>
      <c r="D207" t="str">
        <f>IFERROR(VLOOKUP(C207, merchants!$A$2:$D$41, 2, FALSE), "Merchant not found")</f>
        <v>Merchant_040</v>
      </c>
      <c r="E207" t="str">
        <f>IFERROR(VLOOKUP(C207, merchants!$A$2:$D$41, 3, FALSE), "Merchant not found")</f>
        <v>entertainment</v>
      </c>
      <c r="F207" t="str">
        <f>IFERROR(VLOOKUP(C207, merchants!$A$2:$D$41, 4, FALSE), "Merchant not found")</f>
        <v>South</v>
      </c>
      <c r="G207" s="1">
        <v>46030.57916666667</v>
      </c>
      <c r="H207">
        <v>49</v>
      </c>
      <c r="I207" t="s">
        <v>66</v>
      </c>
      <c r="J207" t="s">
        <v>79</v>
      </c>
      <c r="K207">
        <v>78</v>
      </c>
      <c r="L207">
        <f>IFERROR(HLOOKUP(TRIM(I207), FeeTable!$B$1:$H$2, 2, FALSE) * H207, 0)</f>
        <v>0</v>
      </c>
      <c r="M207" t="str">
        <f t="shared" si="3"/>
        <v>Standard</v>
      </c>
    </row>
    <row r="208" spans="1:13" x14ac:dyDescent="0.3">
      <c r="A208" t="s">
        <v>275</v>
      </c>
      <c r="B208">
        <v>14</v>
      </c>
      <c r="C208">
        <v>39</v>
      </c>
      <c r="D208" t="str">
        <f>IFERROR(VLOOKUP(C208, merchants!$A$2:$D$41, 2, FALSE), "Merchant not found")</f>
        <v>Merchant_039</v>
      </c>
      <c r="E208" t="str">
        <f>IFERROR(VLOOKUP(C208, merchants!$A$2:$D$41, 3, FALSE), "Merchant not found")</f>
        <v>entertainment</v>
      </c>
      <c r="F208" t="str">
        <f>IFERROR(VLOOKUP(C208, merchants!$A$2:$D$41, 4, FALSE), "Merchant not found")</f>
        <v>North</v>
      </c>
      <c r="G208" s="1">
        <v>46044.857638888891</v>
      </c>
      <c r="H208">
        <v>799</v>
      </c>
      <c r="I208" t="s">
        <v>66</v>
      </c>
      <c r="J208" t="s">
        <v>64</v>
      </c>
      <c r="K208">
        <v>84</v>
      </c>
      <c r="L208">
        <f>IFERROR(HLOOKUP(TRIM(I208), FeeTable!$B$1:$H$2, 2, FALSE) * H208, 0)</f>
        <v>0</v>
      </c>
      <c r="M208" t="str">
        <f t="shared" si="3"/>
        <v>Standard</v>
      </c>
    </row>
    <row r="209" spans="1:13" x14ac:dyDescent="0.3">
      <c r="A209" t="s">
        <v>276</v>
      </c>
      <c r="B209">
        <v>15</v>
      </c>
      <c r="C209">
        <v>12</v>
      </c>
      <c r="D209" t="str">
        <f>IFERROR(VLOOKUP(C209, merchants!$A$2:$D$41, 2, FALSE), "Merchant not found")</f>
        <v>Merchant_012</v>
      </c>
      <c r="E209" t="str">
        <f>IFERROR(VLOOKUP(C209, merchants!$A$2:$D$41, 3, FALSE), "Merchant not found")</f>
        <v>ecommerce</v>
      </c>
      <c r="F209" t="str">
        <f>IFERROR(VLOOKUP(C209, merchants!$A$2:$D$41, 4, FALSE), "Merchant not found")</f>
        <v>East</v>
      </c>
      <c r="G209" s="1">
        <v>46049.928472222222</v>
      </c>
      <c r="H209">
        <v>149</v>
      </c>
      <c r="I209" t="s">
        <v>66</v>
      </c>
      <c r="J209" t="s">
        <v>64</v>
      </c>
      <c r="K209">
        <v>34</v>
      </c>
      <c r="L209">
        <f>IFERROR(HLOOKUP(TRIM(I209), FeeTable!$B$1:$H$2, 2, FALSE) * H209, 0)</f>
        <v>0</v>
      </c>
      <c r="M209" t="str">
        <f t="shared" si="3"/>
        <v>Standard</v>
      </c>
    </row>
    <row r="210" spans="1:13" x14ac:dyDescent="0.3">
      <c r="A210" t="s">
        <v>277</v>
      </c>
      <c r="B210">
        <v>174</v>
      </c>
      <c r="C210">
        <v>23</v>
      </c>
      <c r="D210" t="str">
        <f>IFERROR(VLOOKUP(C210, merchants!$A$2:$D$41, 2, FALSE), "Merchant not found")</f>
        <v>Merchant_023</v>
      </c>
      <c r="E210" t="str">
        <f>IFERROR(VLOOKUP(C210, merchants!$A$2:$D$41, 3, FALSE), "Merchant not found")</f>
        <v>travel</v>
      </c>
      <c r="F210" t="str">
        <f>IFERROR(VLOOKUP(C210, merchants!$A$2:$D$41, 4, FALSE), "Merchant not found")</f>
        <v>North</v>
      </c>
      <c r="G210" s="1">
        <v>46045.415277777778</v>
      </c>
      <c r="H210">
        <v>149</v>
      </c>
      <c r="I210" t="s">
        <v>66</v>
      </c>
      <c r="J210" t="s">
        <v>64</v>
      </c>
      <c r="K210">
        <v>0</v>
      </c>
      <c r="L210">
        <f>IFERROR(HLOOKUP(TRIM(I210), FeeTable!$B$1:$H$2, 2, FALSE) * H210, 0)</f>
        <v>0</v>
      </c>
      <c r="M210" t="str">
        <f t="shared" si="3"/>
        <v>Standard</v>
      </c>
    </row>
    <row r="211" spans="1:13" x14ac:dyDescent="0.3">
      <c r="A211" t="s">
        <v>278</v>
      </c>
      <c r="B211">
        <v>337</v>
      </c>
      <c r="C211">
        <v>26</v>
      </c>
      <c r="D211" t="str">
        <f>IFERROR(VLOOKUP(C211, merchants!$A$2:$D$41, 2, FALSE), "Merchant not found")</f>
        <v>Merchant_026</v>
      </c>
      <c r="E211" t="str">
        <f>IFERROR(VLOOKUP(C211, merchants!$A$2:$D$41, 3, FALSE), "Merchant not found")</f>
        <v>food_delivery</v>
      </c>
      <c r="F211" t="str">
        <f>IFERROR(VLOOKUP(C211, merchants!$A$2:$D$41, 4, FALSE), "Merchant not found")</f>
        <v>East</v>
      </c>
      <c r="G211" s="1">
        <v>46028.191666666666</v>
      </c>
      <c r="H211">
        <v>49</v>
      </c>
      <c r="I211" t="s">
        <v>66</v>
      </c>
      <c r="J211" t="s">
        <v>64</v>
      </c>
      <c r="K211">
        <v>8</v>
      </c>
      <c r="L211">
        <f>IFERROR(HLOOKUP(TRIM(I211), FeeTable!$B$1:$H$2, 2, FALSE) * H211, 0)</f>
        <v>0</v>
      </c>
      <c r="M211" t="str">
        <f t="shared" si="3"/>
        <v>Standard</v>
      </c>
    </row>
    <row r="212" spans="1:13" x14ac:dyDescent="0.3">
      <c r="A212" t="s">
        <v>279</v>
      </c>
      <c r="B212">
        <v>16</v>
      </c>
      <c r="C212">
        <v>6</v>
      </c>
      <c r="D212" t="str">
        <f>IFERROR(VLOOKUP(C212, merchants!$A$2:$D$41, 2, FALSE), "Merchant not found")</f>
        <v>Merchant_006</v>
      </c>
      <c r="E212" t="str">
        <f>IFERROR(VLOOKUP(C212, merchants!$A$2:$D$41, 3, FALSE), "Merchant not found")</f>
        <v>food_delivery</v>
      </c>
      <c r="F212" t="str">
        <f>IFERROR(VLOOKUP(C212, merchants!$A$2:$D$41, 4, FALSE), "Merchant not found")</f>
        <v>South</v>
      </c>
      <c r="G212" s="1">
        <v>46027.986111111109</v>
      </c>
      <c r="H212">
        <v>1499</v>
      </c>
      <c r="I212" t="s">
        <v>66</v>
      </c>
      <c r="J212" t="s">
        <v>64</v>
      </c>
      <c r="K212">
        <v>95</v>
      </c>
      <c r="L212">
        <f>IFERROR(HLOOKUP(TRIM(I212), FeeTable!$B$1:$H$2, 2, FALSE) * H212, 0)</f>
        <v>0</v>
      </c>
      <c r="M212" t="str">
        <f t="shared" si="3"/>
        <v>Standard</v>
      </c>
    </row>
    <row r="213" spans="1:13" x14ac:dyDescent="0.3">
      <c r="A213" t="s">
        <v>280</v>
      </c>
      <c r="B213">
        <v>215</v>
      </c>
      <c r="C213">
        <v>30</v>
      </c>
      <c r="D213" t="str">
        <f>IFERROR(VLOOKUP(C213, merchants!$A$2:$D$41, 2, FALSE), "Merchant not found")</f>
        <v>Merchant_030</v>
      </c>
      <c r="E213" t="str">
        <f>IFERROR(VLOOKUP(C213, merchants!$A$2:$D$41, 3, FALSE), "Merchant not found")</f>
        <v>travel</v>
      </c>
      <c r="F213" t="str">
        <f>IFERROR(VLOOKUP(C213, merchants!$A$2:$D$41, 4, FALSE), "Merchant not found")</f>
        <v>West</v>
      </c>
      <c r="G213" s="1">
        <v>46039.26666666667</v>
      </c>
      <c r="H213">
        <v>49</v>
      </c>
      <c r="I213" t="s">
        <v>66</v>
      </c>
      <c r="J213" t="s">
        <v>64</v>
      </c>
      <c r="K213">
        <v>43</v>
      </c>
      <c r="L213">
        <f>IFERROR(HLOOKUP(TRIM(I213), FeeTable!$B$1:$H$2, 2, FALSE) * H213, 0)</f>
        <v>0</v>
      </c>
      <c r="M213" t="str">
        <f t="shared" si="3"/>
        <v>Standard</v>
      </c>
    </row>
    <row r="214" spans="1:13" x14ac:dyDescent="0.3">
      <c r="A214" t="s">
        <v>281</v>
      </c>
      <c r="B214">
        <v>167</v>
      </c>
      <c r="C214">
        <v>37</v>
      </c>
      <c r="D214" t="str">
        <f>IFERROR(VLOOKUP(C214, merchants!$A$2:$D$41, 2, FALSE), "Merchant not found")</f>
        <v>Merchant_037</v>
      </c>
      <c r="E214" t="str">
        <f>IFERROR(VLOOKUP(C214, merchants!$A$2:$D$41, 3, FALSE), "Merchant not found")</f>
        <v>entertainment</v>
      </c>
      <c r="F214" t="str">
        <f>IFERROR(VLOOKUP(C214, merchants!$A$2:$D$41, 4, FALSE), "Merchant not found")</f>
        <v>South</v>
      </c>
      <c r="G214" s="1">
        <v>46028.47152777778</v>
      </c>
      <c r="H214">
        <v>99</v>
      </c>
      <c r="I214" t="s">
        <v>66</v>
      </c>
      <c r="J214" t="s">
        <v>64</v>
      </c>
      <c r="K214">
        <v>76</v>
      </c>
      <c r="L214">
        <f>IFERROR(HLOOKUP(TRIM(I214), FeeTable!$B$1:$H$2, 2, FALSE) * H214, 0)</f>
        <v>0</v>
      </c>
      <c r="M214" t="str">
        <f t="shared" si="3"/>
        <v>Standard</v>
      </c>
    </row>
    <row r="215" spans="1:13" x14ac:dyDescent="0.3">
      <c r="A215" t="s">
        <v>282</v>
      </c>
      <c r="B215">
        <v>81</v>
      </c>
      <c r="C215">
        <v>40</v>
      </c>
      <c r="D215" t="str">
        <f>IFERROR(VLOOKUP(C215, merchants!$A$2:$D$41, 2, FALSE), "Merchant not found")</f>
        <v>Merchant_040</v>
      </c>
      <c r="E215" t="str">
        <f>IFERROR(VLOOKUP(C215, merchants!$A$2:$D$41, 3, FALSE), "Merchant not found")</f>
        <v>entertainment</v>
      </c>
      <c r="F215" t="str">
        <f>IFERROR(VLOOKUP(C215, merchants!$A$2:$D$41, 4, FALSE), "Merchant not found")</f>
        <v>South</v>
      </c>
      <c r="G215" s="1">
        <v>46025.04791666667</v>
      </c>
      <c r="H215">
        <v>49</v>
      </c>
      <c r="I215" t="s">
        <v>66</v>
      </c>
      <c r="J215" t="s">
        <v>64</v>
      </c>
      <c r="K215">
        <v>6</v>
      </c>
      <c r="L215">
        <f>IFERROR(HLOOKUP(TRIM(I215), FeeTable!$B$1:$H$2, 2, FALSE) * H215, 0)</f>
        <v>0</v>
      </c>
      <c r="M215" t="str">
        <f t="shared" si="3"/>
        <v>Standard</v>
      </c>
    </row>
    <row r="216" spans="1:13" x14ac:dyDescent="0.3">
      <c r="A216" t="s">
        <v>283</v>
      </c>
      <c r="B216">
        <v>227</v>
      </c>
      <c r="C216">
        <v>28</v>
      </c>
      <c r="D216" t="str">
        <f>IFERROR(VLOOKUP(C216, merchants!$A$2:$D$41, 2, FALSE), "Merchant not found")</f>
        <v>Merchant_028</v>
      </c>
      <c r="E216" t="str">
        <f>IFERROR(VLOOKUP(C216, merchants!$A$2:$D$41, 3, FALSE), "Merchant not found")</f>
        <v>ecommerce</v>
      </c>
      <c r="F216" t="str">
        <f>IFERROR(VLOOKUP(C216, merchants!$A$2:$D$41, 4, FALSE), "Merchant not found")</f>
        <v>South</v>
      </c>
      <c r="G216" s="1">
        <v>46044.095138888886</v>
      </c>
      <c r="H216">
        <v>99</v>
      </c>
      <c r="I216" t="s">
        <v>66</v>
      </c>
      <c r="J216" t="s">
        <v>64</v>
      </c>
      <c r="K216">
        <v>62</v>
      </c>
      <c r="L216">
        <f>IFERROR(HLOOKUP(TRIM(I216), FeeTable!$B$1:$H$2, 2, FALSE) * H216, 0)</f>
        <v>0</v>
      </c>
      <c r="M216" t="str">
        <f t="shared" si="3"/>
        <v>Standard</v>
      </c>
    </row>
    <row r="217" spans="1:13" x14ac:dyDescent="0.3">
      <c r="A217" t="s">
        <v>284</v>
      </c>
      <c r="B217">
        <v>140</v>
      </c>
      <c r="C217">
        <v>14</v>
      </c>
      <c r="D217" t="str">
        <f>IFERROR(VLOOKUP(C217, merchants!$A$2:$D$41, 2, FALSE), "Merchant not found")</f>
        <v>Merchant_014</v>
      </c>
      <c r="E217" t="str">
        <f>IFERROR(VLOOKUP(C217, merchants!$A$2:$D$41, 3, FALSE), "Merchant not found")</f>
        <v>grocery</v>
      </c>
      <c r="F217" t="str">
        <f>IFERROR(VLOOKUP(C217, merchants!$A$2:$D$41, 4, FALSE), "Merchant not found")</f>
        <v>East</v>
      </c>
      <c r="G217" s="1">
        <v>46042.601388888892</v>
      </c>
      <c r="H217">
        <v>299</v>
      </c>
      <c r="I217" t="s">
        <v>63</v>
      </c>
      <c r="J217" t="s">
        <v>64</v>
      </c>
      <c r="K217">
        <v>96</v>
      </c>
      <c r="L217">
        <f>IFERROR(HLOOKUP(TRIM(I217), FeeTable!$B$1:$H$2, 2, FALSE) * H217, 0)</f>
        <v>3.2889999999999997</v>
      </c>
      <c r="M217" t="str">
        <f t="shared" si="3"/>
        <v>Standard</v>
      </c>
    </row>
    <row r="218" spans="1:13" x14ac:dyDescent="0.3">
      <c r="A218" t="s">
        <v>285</v>
      </c>
      <c r="B218">
        <v>221</v>
      </c>
      <c r="C218">
        <v>8</v>
      </c>
      <c r="D218" t="str">
        <f>IFERROR(VLOOKUP(C218, merchants!$A$2:$D$41, 2, FALSE), "Merchant not found")</f>
        <v>Merchant_008</v>
      </c>
      <c r="E218" t="str">
        <f>IFERROR(VLOOKUP(C218, merchants!$A$2:$D$41, 3, FALSE), "Merchant not found")</f>
        <v>food_delivery</v>
      </c>
      <c r="F218" t="str">
        <f>IFERROR(VLOOKUP(C218, merchants!$A$2:$D$41, 4, FALSE), "Merchant not found")</f>
        <v>North</v>
      </c>
      <c r="G218" s="1">
        <v>46039.140277777777</v>
      </c>
      <c r="H218">
        <v>299</v>
      </c>
      <c r="I218" t="s">
        <v>66</v>
      </c>
      <c r="J218" t="s">
        <v>64</v>
      </c>
      <c r="K218">
        <v>36</v>
      </c>
      <c r="L218">
        <f>IFERROR(HLOOKUP(TRIM(I218), FeeTable!$B$1:$H$2, 2, FALSE) * H218, 0)</f>
        <v>0</v>
      </c>
      <c r="M218" t="str">
        <f t="shared" si="3"/>
        <v>Standard</v>
      </c>
    </row>
    <row r="219" spans="1:13" x14ac:dyDescent="0.3">
      <c r="A219" t="s">
        <v>286</v>
      </c>
      <c r="B219">
        <v>250</v>
      </c>
      <c r="C219">
        <v>34</v>
      </c>
      <c r="D219" t="str">
        <f>IFERROR(VLOOKUP(C219, merchants!$A$2:$D$41, 2, FALSE), "Merchant not found")</f>
        <v>Merchant_034</v>
      </c>
      <c r="E219" t="str">
        <f>IFERROR(VLOOKUP(C219, merchants!$A$2:$D$41, 3, FALSE), "Merchant not found")</f>
        <v>travel</v>
      </c>
      <c r="F219" t="str">
        <f>IFERROR(VLOOKUP(C219, merchants!$A$2:$D$41, 4, FALSE), "Merchant not found")</f>
        <v>South</v>
      </c>
      <c r="G219" s="1">
        <v>46044.900694444441</v>
      </c>
      <c r="H219">
        <v>299</v>
      </c>
      <c r="I219" t="s">
        <v>63</v>
      </c>
      <c r="J219" t="s">
        <v>64</v>
      </c>
      <c r="K219">
        <v>85</v>
      </c>
      <c r="L219">
        <f>IFERROR(HLOOKUP(TRIM(I219), FeeTable!$B$1:$H$2, 2, FALSE) * H219, 0)</f>
        <v>3.2889999999999997</v>
      </c>
      <c r="M219" t="str">
        <f t="shared" si="3"/>
        <v>Standard</v>
      </c>
    </row>
    <row r="220" spans="1:13" x14ac:dyDescent="0.3">
      <c r="A220" t="s">
        <v>287</v>
      </c>
      <c r="B220">
        <v>203</v>
      </c>
      <c r="C220">
        <v>39</v>
      </c>
      <c r="D220" t="str">
        <f>IFERROR(VLOOKUP(C220, merchants!$A$2:$D$41, 2, FALSE), "Merchant not found")</f>
        <v>Merchant_039</v>
      </c>
      <c r="E220" t="str">
        <f>IFERROR(VLOOKUP(C220, merchants!$A$2:$D$41, 3, FALSE), "Merchant not found")</f>
        <v>entertainment</v>
      </c>
      <c r="F220" t="str">
        <f>IFERROR(VLOOKUP(C220, merchants!$A$2:$D$41, 4, FALSE), "Merchant not found")</f>
        <v>North</v>
      </c>
      <c r="G220" s="1">
        <v>46032.051388888889</v>
      </c>
      <c r="H220">
        <v>49</v>
      </c>
      <c r="I220" t="s">
        <v>66</v>
      </c>
      <c r="J220" t="s">
        <v>64</v>
      </c>
      <c r="K220">
        <v>7</v>
      </c>
      <c r="L220">
        <f>IFERROR(HLOOKUP(TRIM(I220), FeeTable!$B$1:$H$2, 2, FALSE) * H220, 0)</f>
        <v>0</v>
      </c>
      <c r="M220" t="str">
        <f t="shared" si="3"/>
        <v>Standard</v>
      </c>
    </row>
    <row r="221" spans="1:13" x14ac:dyDescent="0.3">
      <c r="A221" t="s">
        <v>288</v>
      </c>
      <c r="B221">
        <v>109</v>
      </c>
      <c r="C221">
        <v>9</v>
      </c>
      <c r="D221" t="str">
        <f>IFERROR(VLOOKUP(C221, merchants!$A$2:$D$41, 2, FALSE), "Merchant not found")</f>
        <v>Merchant_009</v>
      </c>
      <c r="E221" t="str">
        <f>IFERROR(VLOOKUP(C221, merchants!$A$2:$D$41, 3, FALSE), "Merchant not found")</f>
        <v>ecommerce</v>
      </c>
      <c r="F221" t="str">
        <f>IFERROR(VLOOKUP(C221, merchants!$A$2:$D$41, 4, FALSE), "Merchant not found")</f>
        <v>North</v>
      </c>
      <c r="G221" s="1">
        <v>46023.263194444444</v>
      </c>
      <c r="H221">
        <v>499</v>
      </c>
      <c r="I221" t="s">
        <v>63</v>
      </c>
      <c r="J221" t="s">
        <v>64</v>
      </c>
      <c r="K221">
        <v>97</v>
      </c>
      <c r="L221">
        <f>IFERROR(HLOOKUP(TRIM(I221), FeeTable!$B$1:$H$2, 2, FALSE) * H221, 0)</f>
        <v>5.4889999999999999</v>
      </c>
      <c r="M221" t="str">
        <f t="shared" si="3"/>
        <v>Standard</v>
      </c>
    </row>
    <row r="222" spans="1:13" x14ac:dyDescent="0.3">
      <c r="A222" t="s">
        <v>289</v>
      </c>
      <c r="B222">
        <v>62</v>
      </c>
      <c r="C222">
        <v>1</v>
      </c>
      <c r="D222" t="str">
        <f>IFERROR(VLOOKUP(C222, merchants!$A$2:$D$41, 2, FALSE), "Merchant not found")</f>
        <v>Merchant_001</v>
      </c>
      <c r="E222" t="str">
        <f>IFERROR(VLOOKUP(C222, merchants!$A$2:$D$41, 3, FALSE), "Merchant not found")</f>
        <v>ecommerce</v>
      </c>
      <c r="F222" t="str">
        <f>IFERROR(VLOOKUP(C222, merchants!$A$2:$D$41, 4, FALSE), "Merchant not found")</f>
        <v>South</v>
      </c>
      <c r="G222" s="1">
        <v>46031.388888888891</v>
      </c>
      <c r="H222">
        <v>4999</v>
      </c>
      <c r="I222" t="s">
        <v>63</v>
      </c>
      <c r="J222" t="s">
        <v>64</v>
      </c>
      <c r="K222">
        <v>63</v>
      </c>
      <c r="L222">
        <f>IFERROR(HLOOKUP(TRIM(I222), FeeTable!$B$1:$H$2, 2, FALSE) * H222, 0)</f>
        <v>54.988999999999997</v>
      </c>
      <c r="M222" t="str">
        <f t="shared" si="3"/>
        <v>Standard</v>
      </c>
    </row>
    <row r="223" spans="1:13" x14ac:dyDescent="0.3">
      <c r="A223" t="s">
        <v>290</v>
      </c>
      <c r="B223">
        <v>67</v>
      </c>
      <c r="C223">
        <v>25</v>
      </c>
      <c r="D223" t="str">
        <f>IFERROR(VLOOKUP(C223, merchants!$A$2:$D$41, 2, FALSE), "Merchant not found")</f>
        <v>Merchant_025</v>
      </c>
      <c r="E223" t="str">
        <f>IFERROR(VLOOKUP(C223, merchants!$A$2:$D$41, 3, FALSE), "Merchant not found")</f>
        <v>travel</v>
      </c>
      <c r="F223" t="str">
        <f>IFERROR(VLOOKUP(C223, merchants!$A$2:$D$41, 4, FALSE), "Merchant not found")</f>
        <v>South</v>
      </c>
      <c r="G223" s="1">
        <v>46046.549305555556</v>
      </c>
      <c r="H223">
        <v>49</v>
      </c>
      <c r="I223" t="s">
        <v>66</v>
      </c>
      <c r="J223" t="s">
        <v>64</v>
      </c>
      <c r="K223">
        <v>68</v>
      </c>
      <c r="L223">
        <f>IFERROR(HLOOKUP(TRIM(I223), FeeTable!$B$1:$H$2, 2, FALSE) * H223, 0)</f>
        <v>0</v>
      </c>
      <c r="M223" t="str">
        <f t="shared" si="3"/>
        <v>Standard</v>
      </c>
    </row>
    <row r="224" spans="1:13" x14ac:dyDescent="0.3">
      <c r="A224" t="s">
        <v>291</v>
      </c>
      <c r="B224">
        <v>287</v>
      </c>
      <c r="C224">
        <v>23</v>
      </c>
      <c r="D224" t="str">
        <f>IFERROR(VLOOKUP(C224, merchants!$A$2:$D$41, 2, FALSE), "Merchant not found")</f>
        <v>Merchant_023</v>
      </c>
      <c r="E224" t="str">
        <f>IFERROR(VLOOKUP(C224, merchants!$A$2:$D$41, 3, FALSE), "Merchant not found")</f>
        <v>travel</v>
      </c>
      <c r="F224" t="str">
        <f>IFERROR(VLOOKUP(C224, merchants!$A$2:$D$41, 4, FALSE), "Merchant not found")</f>
        <v>North</v>
      </c>
      <c r="G224" s="1">
        <v>46045.313888888886</v>
      </c>
      <c r="H224">
        <v>49</v>
      </c>
      <c r="I224" t="s">
        <v>66</v>
      </c>
      <c r="J224" t="s">
        <v>64</v>
      </c>
      <c r="K224">
        <v>9</v>
      </c>
      <c r="L224">
        <f>IFERROR(HLOOKUP(TRIM(I224), FeeTable!$B$1:$H$2, 2, FALSE) * H224, 0)</f>
        <v>0</v>
      </c>
      <c r="M224" t="str">
        <f t="shared" si="3"/>
        <v>Standard</v>
      </c>
    </row>
    <row r="225" spans="1:13" x14ac:dyDescent="0.3">
      <c r="A225" t="s">
        <v>292</v>
      </c>
      <c r="B225">
        <v>224</v>
      </c>
      <c r="C225">
        <v>2</v>
      </c>
      <c r="D225" t="str">
        <f>IFERROR(VLOOKUP(C225, merchants!$A$2:$D$41, 2, FALSE), "Merchant not found")</f>
        <v>Merchant_002</v>
      </c>
      <c r="E225" t="str">
        <f>IFERROR(VLOOKUP(C225, merchants!$A$2:$D$41, 3, FALSE), "Merchant not found")</f>
        <v>grocery</v>
      </c>
      <c r="F225" t="str">
        <f>IFERROR(VLOOKUP(C225, merchants!$A$2:$D$41, 4, FALSE), "Merchant not found")</f>
        <v>West</v>
      </c>
      <c r="G225" s="1">
        <v>46035.959722222222</v>
      </c>
      <c r="H225">
        <v>49</v>
      </c>
      <c r="I225" t="s">
        <v>78</v>
      </c>
      <c r="J225" t="s">
        <v>64</v>
      </c>
      <c r="K225">
        <v>58</v>
      </c>
      <c r="L225">
        <f>IFERROR(HLOOKUP(TRIM(I225), FeeTable!$B$1:$H$2, 2, FALSE) * H225, 0)</f>
        <v>0.8819999999999999</v>
      </c>
      <c r="M225" t="str">
        <f t="shared" si="3"/>
        <v>Standard</v>
      </c>
    </row>
    <row r="226" spans="1:13" x14ac:dyDescent="0.3">
      <c r="A226" t="s">
        <v>293</v>
      </c>
      <c r="B226">
        <v>161</v>
      </c>
      <c r="C226">
        <v>37</v>
      </c>
      <c r="D226" t="str">
        <f>IFERROR(VLOOKUP(C226, merchants!$A$2:$D$41, 2, FALSE), "Merchant not found")</f>
        <v>Merchant_037</v>
      </c>
      <c r="E226" t="str">
        <f>IFERROR(VLOOKUP(C226, merchants!$A$2:$D$41, 3, FALSE), "Merchant not found")</f>
        <v>entertainment</v>
      </c>
      <c r="F226" t="str">
        <f>IFERROR(VLOOKUP(C226, merchants!$A$2:$D$41, 4, FALSE), "Merchant not found")</f>
        <v>South</v>
      </c>
      <c r="G226" s="1">
        <v>46052.121527777781</v>
      </c>
      <c r="H226">
        <v>299</v>
      </c>
      <c r="I226" t="s">
        <v>66</v>
      </c>
      <c r="J226" t="s">
        <v>64</v>
      </c>
      <c r="K226">
        <v>54</v>
      </c>
      <c r="L226">
        <f>IFERROR(HLOOKUP(TRIM(I226), FeeTable!$B$1:$H$2, 2, FALSE) * H226, 0)</f>
        <v>0</v>
      </c>
      <c r="M226" t="str">
        <f t="shared" si="3"/>
        <v>Standard</v>
      </c>
    </row>
    <row r="227" spans="1:13" x14ac:dyDescent="0.3">
      <c r="A227" t="s">
        <v>294</v>
      </c>
      <c r="B227">
        <v>328</v>
      </c>
      <c r="C227">
        <v>27</v>
      </c>
      <c r="D227" t="str">
        <f>IFERROR(VLOOKUP(C227, merchants!$A$2:$D$41, 2, FALSE), "Merchant not found")</f>
        <v>Merchant_027</v>
      </c>
      <c r="E227" t="str">
        <f>IFERROR(VLOOKUP(C227, merchants!$A$2:$D$41, 3, FALSE), "Merchant not found")</f>
        <v>ecommerce</v>
      </c>
      <c r="F227" t="str">
        <f>IFERROR(VLOOKUP(C227, merchants!$A$2:$D$41, 4, FALSE), "Merchant not found")</f>
        <v>North</v>
      </c>
      <c r="G227" s="1">
        <v>46041.53125</v>
      </c>
      <c r="H227">
        <v>49</v>
      </c>
      <c r="I227" t="s">
        <v>66</v>
      </c>
      <c r="J227" t="s">
        <v>92</v>
      </c>
      <c r="K227">
        <v>37</v>
      </c>
      <c r="L227">
        <f>IFERROR(HLOOKUP(TRIM(I227), FeeTable!$B$1:$H$2, 2, FALSE) * H227, 0)</f>
        <v>0</v>
      </c>
      <c r="M227" t="str">
        <f t="shared" si="3"/>
        <v>Standard</v>
      </c>
    </row>
    <row r="228" spans="1:13" x14ac:dyDescent="0.3">
      <c r="A228" t="s">
        <v>295</v>
      </c>
      <c r="B228">
        <v>167</v>
      </c>
      <c r="C228">
        <v>11</v>
      </c>
      <c r="D228" t="str">
        <f>IFERROR(VLOOKUP(C228, merchants!$A$2:$D$41, 2, FALSE), "Merchant not found")</f>
        <v>Merchant_011</v>
      </c>
      <c r="E228" t="str">
        <f>IFERROR(VLOOKUP(C228, merchants!$A$2:$D$41, 3, FALSE), "Merchant not found")</f>
        <v>ecommerce</v>
      </c>
      <c r="F228" t="str">
        <f>IFERROR(VLOOKUP(C228, merchants!$A$2:$D$41, 4, FALSE), "Merchant not found")</f>
        <v>North</v>
      </c>
      <c r="G228" s="1">
        <v>46026.500694444447</v>
      </c>
      <c r="H228">
        <v>1499</v>
      </c>
      <c r="I228" t="s">
        <v>78</v>
      </c>
      <c r="J228" t="s">
        <v>79</v>
      </c>
      <c r="K228">
        <v>79</v>
      </c>
      <c r="L228">
        <f>IFERROR(HLOOKUP(TRIM(I228), FeeTable!$B$1:$H$2, 2, FALSE) * H228, 0)</f>
        <v>26.981999999999999</v>
      </c>
      <c r="M228" t="str">
        <f t="shared" si="3"/>
        <v>Standard</v>
      </c>
    </row>
    <row r="229" spans="1:13" x14ac:dyDescent="0.3">
      <c r="A229" t="s">
        <v>296</v>
      </c>
      <c r="B229">
        <v>186</v>
      </c>
      <c r="C229">
        <v>6</v>
      </c>
      <c r="D229" t="str">
        <f>IFERROR(VLOOKUP(C229, merchants!$A$2:$D$41, 2, FALSE), "Merchant not found")</f>
        <v>Merchant_006</v>
      </c>
      <c r="E229" t="str">
        <f>IFERROR(VLOOKUP(C229, merchants!$A$2:$D$41, 3, FALSE), "Merchant not found")</f>
        <v>food_delivery</v>
      </c>
      <c r="F229" t="str">
        <f>IFERROR(VLOOKUP(C229, merchants!$A$2:$D$41, 4, FALSE), "Merchant not found")</f>
        <v>South</v>
      </c>
      <c r="G229" s="1">
        <v>46037.956944444442</v>
      </c>
      <c r="H229">
        <v>49</v>
      </c>
      <c r="I229" t="s">
        <v>63</v>
      </c>
      <c r="J229" t="s">
        <v>64</v>
      </c>
      <c r="K229">
        <v>55</v>
      </c>
      <c r="L229">
        <f>IFERROR(HLOOKUP(TRIM(I229), FeeTable!$B$1:$H$2, 2, FALSE) * H229, 0)</f>
        <v>0.53899999999999992</v>
      </c>
      <c r="M229" t="str">
        <f t="shared" si="3"/>
        <v>Standard</v>
      </c>
    </row>
    <row r="230" spans="1:13" x14ac:dyDescent="0.3">
      <c r="A230" t="s">
        <v>297</v>
      </c>
      <c r="B230">
        <v>224</v>
      </c>
      <c r="C230">
        <v>38</v>
      </c>
      <c r="D230" t="str">
        <f>IFERROR(VLOOKUP(C230, merchants!$A$2:$D$41, 2, FALSE), "Merchant not found")</f>
        <v>Merchant_038</v>
      </c>
      <c r="E230" t="str">
        <f>IFERROR(VLOOKUP(C230, merchants!$A$2:$D$41, 3, FALSE), "Merchant not found")</f>
        <v>grocery</v>
      </c>
      <c r="F230" t="str">
        <f>IFERROR(VLOOKUP(C230, merchants!$A$2:$D$41, 4, FALSE), "Merchant not found")</f>
        <v>East</v>
      </c>
      <c r="G230" s="1">
        <v>46050.135416666664</v>
      </c>
      <c r="H230">
        <v>299</v>
      </c>
      <c r="I230" t="s">
        <v>63</v>
      </c>
      <c r="J230" t="s">
        <v>79</v>
      </c>
      <c r="K230">
        <v>51</v>
      </c>
      <c r="L230">
        <f>IFERROR(HLOOKUP(TRIM(I230), FeeTable!$B$1:$H$2, 2, FALSE) * H230, 0)</f>
        <v>3.2889999999999997</v>
      </c>
      <c r="M230" t="str">
        <f t="shared" si="3"/>
        <v>Standard</v>
      </c>
    </row>
    <row r="231" spans="1:13" x14ac:dyDescent="0.3">
      <c r="A231" t="s">
        <v>298</v>
      </c>
      <c r="B231">
        <v>159</v>
      </c>
      <c r="C231">
        <v>22</v>
      </c>
      <c r="D231" t="str">
        <f>IFERROR(VLOOKUP(C231, merchants!$A$2:$D$41, 2, FALSE), "Merchant not found")</f>
        <v>Merchant_022</v>
      </c>
      <c r="E231" t="str">
        <f>IFERROR(VLOOKUP(C231, merchants!$A$2:$D$41, 3, FALSE), "Merchant not found")</f>
        <v>travel</v>
      </c>
      <c r="F231" t="str">
        <f>IFERROR(VLOOKUP(C231, merchants!$A$2:$D$41, 4, FALSE), "Merchant not found")</f>
        <v>South</v>
      </c>
      <c r="G231" s="1">
        <v>46039.100694444445</v>
      </c>
      <c r="H231">
        <v>799</v>
      </c>
      <c r="I231" t="s">
        <v>66</v>
      </c>
      <c r="J231" t="s">
        <v>64</v>
      </c>
      <c r="K231">
        <v>28</v>
      </c>
      <c r="L231">
        <f>IFERROR(HLOOKUP(TRIM(I231), FeeTable!$B$1:$H$2, 2, FALSE) * H231, 0)</f>
        <v>0</v>
      </c>
      <c r="M231" t="str">
        <f t="shared" si="3"/>
        <v>Standard</v>
      </c>
    </row>
    <row r="232" spans="1:13" x14ac:dyDescent="0.3">
      <c r="A232" t="s">
        <v>299</v>
      </c>
      <c r="B232">
        <v>262</v>
      </c>
      <c r="C232">
        <v>8</v>
      </c>
      <c r="D232" t="str">
        <f>IFERROR(VLOOKUP(C232, merchants!$A$2:$D$41, 2, FALSE), "Merchant not found")</f>
        <v>Merchant_008</v>
      </c>
      <c r="E232" t="str">
        <f>IFERROR(VLOOKUP(C232, merchants!$A$2:$D$41, 3, FALSE), "Merchant not found")</f>
        <v>food_delivery</v>
      </c>
      <c r="F232" t="str">
        <f>IFERROR(VLOOKUP(C232, merchants!$A$2:$D$41, 4, FALSE), "Merchant not found")</f>
        <v>North</v>
      </c>
      <c r="G232" s="1">
        <v>46033.211111111108</v>
      </c>
      <c r="H232">
        <v>149</v>
      </c>
      <c r="I232" t="s">
        <v>66</v>
      </c>
      <c r="J232" t="s">
        <v>64</v>
      </c>
      <c r="K232">
        <v>67</v>
      </c>
      <c r="L232">
        <f>IFERROR(HLOOKUP(TRIM(I232), FeeTable!$B$1:$H$2, 2, FALSE) * H232, 0)</f>
        <v>0</v>
      </c>
      <c r="M232" t="str">
        <f t="shared" si="3"/>
        <v>Standard</v>
      </c>
    </row>
    <row r="233" spans="1:13" x14ac:dyDescent="0.3">
      <c r="A233" t="s">
        <v>300</v>
      </c>
      <c r="B233">
        <v>179</v>
      </c>
      <c r="C233">
        <v>23</v>
      </c>
      <c r="D233" t="str">
        <f>IFERROR(VLOOKUP(C233, merchants!$A$2:$D$41, 2, FALSE), "Merchant not found")</f>
        <v>Merchant_023</v>
      </c>
      <c r="E233" t="str">
        <f>IFERROR(VLOOKUP(C233, merchants!$A$2:$D$41, 3, FALSE), "Merchant not found")</f>
        <v>travel</v>
      </c>
      <c r="F233" t="str">
        <f>IFERROR(VLOOKUP(C233, merchants!$A$2:$D$41, 4, FALSE), "Merchant not found")</f>
        <v>North</v>
      </c>
      <c r="G233" s="1">
        <v>46039.289583333331</v>
      </c>
      <c r="H233">
        <v>49</v>
      </c>
      <c r="I233" t="s">
        <v>63</v>
      </c>
      <c r="J233" t="s">
        <v>64</v>
      </c>
      <c r="K233">
        <v>93</v>
      </c>
      <c r="L233">
        <f>IFERROR(HLOOKUP(TRIM(I233), FeeTable!$B$1:$H$2, 2, FALSE) * H233, 0)</f>
        <v>0.53899999999999992</v>
      </c>
      <c r="M233" t="str">
        <f t="shared" si="3"/>
        <v>Standard</v>
      </c>
    </row>
    <row r="234" spans="1:13" x14ac:dyDescent="0.3">
      <c r="A234" t="s">
        <v>301</v>
      </c>
      <c r="B234">
        <v>76</v>
      </c>
      <c r="C234">
        <v>16</v>
      </c>
      <c r="D234" t="str">
        <f>IFERROR(VLOOKUP(C234, merchants!$A$2:$D$41, 2, FALSE), "Merchant not found")</f>
        <v>Merchant_016</v>
      </c>
      <c r="E234" t="str">
        <f>IFERROR(VLOOKUP(C234, merchants!$A$2:$D$41, 3, FALSE), "Merchant not found")</f>
        <v>bill_payment</v>
      </c>
      <c r="F234" t="str">
        <f>IFERROR(VLOOKUP(C234, merchants!$A$2:$D$41, 4, FALSE), "Merchant not found")</f>
        <v>West</v>
      </c>
      <c r="G234" s="1">
        <v>46049.869444444441</v>
      </c>
      <c r="H234">
        <v>299</v>
      </c>
      <c r="I234" t="s">
        <v>66</v>
      </c>
      <c r="J234" t="s">
        <v>64</v>
      </c>
      <c r="K234">
        <v>13</v>
      </c>
      <c r="L234">
        <f>IFERROR(HLOOKUP(TRIM(I234), FeeTable!$B$1:$H$2, 2, FALSE) * H234, 0)</f>
        <v>0</v>
      </c>
      <c r="M234" t="str">
        <f t="shared" si="3"/>
        <v>Standard</v>
      </c>
    </row>
    <row r="235" spans="1:13" x14ac:dyDescent="0.3">
      <c r="A235" t="s">
        <v>302</v>
      </c>
      <c r="B235">
        <v>89</v>
      </c>
      <c r="C235">
        <v>39</v>
      </c>
      <c r="D235" t="str">
        <f>IFERROR(VLOOKUP(C235, merchants!$A$2:$D$41, 2, FALSE), "Merchant not found")</f>
        <v>Merchant_039</v>
      </c>
      <c r="E235" t="str">
        <f>IFERROR(VLOOKUP(C235, merchants!$A$2:$D$41, 3, FALSE), "Merchant not found")</f>
        <v>entertainment</v>
      </c>
      <c r="F235" t="str">
        <f>IFERROR(VLOOKUP(C235, merchants!$A$2:$D$41, 4, FALSE), "Merchant not found")</f>
        <v>North</v>
      </c>
      <c r="G235" s="1">
        <v>46027.341666666667</v>
      </c>
      <c r="H235">
        <v>299</v>
      </c>
      <c r="I235" t="s">
        <v>66</v>
      </c>
      <c r="J235" t="s">
        <v>64</v>
      </c>
      <c r="K235">
        <v>19</v>
      </c>
      <c r="L235">
        <f>IFERROR(HLOOKUP(TRIM(I235), FeeTable!$B$1:$H$2, 2, FALSE) * H235, 0)</f>
        <v>0</v>
      </c>
      <c r="M235" t="str">
        <f t="shared" si="3"/>
        <v>Standard</v>
      </c>
    </row>
    <row r="236" spans="1:13" x14ac:dyDescent="0.3">
      <c r="A236" t="s">
        <v>303</v>
      </c>
      <c r="B236">
        <v>91</v>
      </c>
      <c r="C236">
        <v>32</v>
      </c>
      <c r="D236" t="str">
        <f>IFERROR(VLOOKUP(C236, merchants!$A$2:$D$41, 2, FALSE), "Merchant not found")</f>
        <v>Merchant_032</v>
      </c>
      <c r="E236" t="str">
        <f>IFERROR(VLOOKUP(C236, merchants!$A$2:$D$41, 3, FALSE), "Merchant not found")</f>
        <v>food_delivery</v>
      </c>
      <c r="F236" t="str">
        <f>IFERROR(VLOOKUP(C236, merchants!$A$2:$D$41, 4, FALSE), "Merchant not found")</f>
        <v>West</v>
      </c>
      <c r="G236" s="1">
        <v>46047.836111111108</v>
      </c>
      <c r="H236">
        <v>49</v>
      </c>
      <c r="I236" t="s">
        <v>66</v>
      </c>
      <c r="J236" t="s">
        <v>64</v>
      </c>
      <c r="K236">
        <v>59</v>
      </c>
      <c r="L236">
        <f>IFERROR(HLOOKUP(TRIM(I236), FeeTable!$B$1:$H$2, 2, FALSE) * H236, 0)</f>
        <v>0</v>
      </c>
      <c r="M236" t="str">
        <f t="shared" si="3"/>
        <v>Standard</v>
      </c>
    </row>
    <row r="237" spans="1:13" x14ac:dyDescent="0.3">
      <c r="A237" t="s">
        <v>304</v>
      </c>
      <c r="B237">
        <v>297</v>
      </c>
      <c r="C237">
        <v>29</v>
      </c>
      <c r="D237" t="str">
        <f>IFERROR(VLOOKUP(C237, merchants!$A$2:$D$41, 2, FALSE), "Merchant not found")</f>
        <v>Merchant_029</v>
      </c>
      <c r="E237" t="str">
        <f>IFERROR(VLOOKUP(C237, merchants!$A$2:$D$41, 3, FALSE), "Merchant not found")</f>
        <v>ecommerce</v>
      </c>
      <c r="F237" t="str">
        <f>IFERROR(VLOOKUP(C237, merchants!$A$2:$D$41, 4, FALSE), "Merchant not found")</f>
        <v>North</v>
      </c>
      <c r="G237" s="1">
        <v>46047.783333333333</v>
      </c>
      <c r="H237">
        <v>99</v>
      </c>
      <c r="I237" t="s">
        <v>78</v>
      </c>
      <c r="J237" t="s">
        <v>92</v>
      </c>
      <c r="K237">
        <v>87</v>
      </c>
      <c r="L237">
        <f>IFERROR(HLOOKUP(TRIM(I237), FeeTable!$B$1:$H$2, 2, FALSE) * H237, 0)</f>
        <v>1.7819999999999998</v>
      </c>
      <c r="M237" t="str">
        <f t="shared" si="3"/>
        <v>Standard</v>
      </c>
    </row>
    <row r="238" spans="1:13" x14ac:dyDescent="0.3">
      <c r="A238" t="s">
        <v>305</v>
      </c>
      <c r="B238">
        <v>326</v>
      </c>
      <c r="C238">
        <v>40</v>
      </c>
      <c r="D238" t="str">
        <f>IFERROR(VLOOKUP(C238, merchants!$A$2:$D$41, 2, FALSE), "Merchant not found")</f>
        <v>Merchant_040</v>
      </c>
      <c r="E238" t="str">
        <f>IFERROR(VLOOKUP(C238, merchants!$A$2:$D$41, 3, FALSE), "Merchant not found")</f>
        <v>entertainment</v>
      </c>
      <c r="F238" t="str">
        <f>IFERROR(VLOOKUP(C238, merchants!$A$2:$D$41, 4, FALSE), "Merchant not found")</f>
        <v>South</v>
      </c>
      <c r="G238" s="1">
        <v>46052.77847222222</v>
      </c>
      <c r="H238">
        <v>499</v>
      </c>
      <c r="I238" t="s">
        <v>78</v>
      </c>
      <c r="J238" t="s">
        <v>64</v>
      </c>
      <c r="K238">
        <v>41</v>
      </c>
      <c r="L238">
        <f>IFERROR(HLOOKUP(TRIM(I238), FeeTable!$B$1:$H$2, 2, FALSE) * H238, 0)</f>
        <v>8.9819999999999993</v>
      </c>
      <c r="M238" t="str">
        <f t="shared" si="3"/>
        <v>Standard</v>
      </c>
    </row>
    <row r="239" spans="1:13" x14ac:dyDescent="0.3">
      <c r="A239" t="s">
        <v>306</v>
      </c>
      <c r="B239">
        <v>78</v>
      </c>
      <c r="C239">
        <v>29</v>
      </c>
      <c r="D239" t="str">
        <f>IFERROR(VLOOKUP(C239, merchants!$A$2:$D$41, 2, FALSE), "Merchant not found")</f>
        <v>Merchant_029</v>
      </c>
      <c r="E239" t="str">
        <f>IFERROR(VLOOKUP(C239, merchants!$A$2:$D$41, 3, FALSE), "Merchant not found")</f>
        <v>ecommerce</v>
      </c>
      <c r="F239" t="str">
        <f>IFERROR(VLOOKUP(C239, merchants!$A$2:$D$41, 4, FALSE), "Merchant not found")</f>
        <v>North</v>
      </c>
      <c r="G239" s="1">
        <v>46050.847222222219</v>
      </c>
      <c r="H239">
        <v>149</v>
      </c>
      <c r="I239" t="s">
        <v>66</v>
      </c>
      <c r="J239" t="s">
        <v>64</v>
      </c>
      <c r="K239">
        <v>8</v>
      </c>
      <c r="L239">
        <f>IFERROR(HLOOKUP(TRIM(I239), FeeTable!$B$1:$H$2, 2, FALSE) * H239, 0)</f>
        <v>0</v>
      </c>
      <c r="M239" t="str">
        <f t="shared" si="3"/>
        <v>Standard</v>
      </c>
    </row>
    <row r="240" spans="1:13" x14ac:dyDescent="0.3">
      <c r="A240" t="s">
        <v>307</v>
      </c>
      <c r="B240">
        <v>156</v>
      </c>
      <c r="C240">
        <v>18</v>
      </c>
      <c r="D240" t="str">
        <f>IFERROR(VLOOKUP(C240, merchants!$A$2:$D$41, 2, FALSE), "Merchant not found")</f>
        <v>Merchant_018</v>
      </c>
      <c r="E240" t="str">
        <f>IFERROR(VLOOKUP(C240, merchants!$A$2:$D$41, 3, FALSE), "Merchant not found")</f>
        <v>grocery</v>
      </c>
      <c r="F240" t="str">
        <f>IFERROR(VLOOKUP(C240, merchants!$A$2:$D$41, 4, FALSE), "Merchant not found")</f>
        <v>West</v>
      </c>
      <c r="G240" s="1">
        <v>46038.611111111109</v>
      </c>
      <c r="H240">
        <v>2999</v>
      </c>
      <c r="I240" t="s">
        <v>78</v>
      </c>
      <c r="J240" t="s">
        <v>64</v>
      </c>
      <c r="K240">
        <v>75</v>
      </c>
      <c r="L240">
        <f>IFERROR(HLOOKUP(TRIM(I240), FeeTable!$B$1:$H$2, 2, FALSE) * H240, 0)</f>
        <v>53.981999999999999</v>
      </c>
      <c r="M240" t="str">
        <f t="shared" si="3"/>
        <v>Standard</v>
      </c>
    </row>
    <row r="241" spans="1:13" x14ac:dyDescent="0.3">
      <c r="A241" t="s">
        <v>308</v>
      </c>
      <c r="B241">
        <v>38</v>
      </c>
      <c r="C241">
        <v>20</v>
      </c>
      <c r="D241" t="str">
        <f>IFERROR(VLOOKUP(C241, merchants!$A$2:$D$41, 2, FALSE), "Merchant not found")</f>
        <v>Merchant_020</v>
      </c>
      <c r="E241" t="str">
        <f>IFERROR(VLOOKUP(C241, merchants!$A$2:$D$41, 3, FALSE), "Merchant not found")</f>
        <v>food_delivery</v>
      </c>
      <c r="F241" t="str">
        <f>IFERROR(VLOOKUP(C241, merchants!$A$2:$D$41, 4, FALSE), "Merchant not found")</f>
        <v>East</v>
      </c>
      <c r="G241" s="1">
        <v>46024.480555555558</v>
      </c>
      <c r="H241">
        <v>49</v>
      </c>
      <c r="I241" t="s">
        <v>63</v>
      </c>
      <c r="J241" t="s">
        <v>79</v>
      </c>
      <c r="K241">
        <v>59</v>
      </c>
      <c r="L241">
        <f>IFERROR(HLOOKUP(TRIM(I241), FeeTable!$B$1:$H$2, 2, FALSE) * H241, 0)</f>
        <v>0.53899999999999992</v>
      </c>
      <c r="M241" t="str">
        <f t="shared" si="3"/>
        <v>Standard</v>
      </c>
    </row>
    <row r="242" spans="1:13" x14ac:dyDescent="0.3">
      <c r="A242" t="s">
        <v>309</v>
      </c>
      <c r="B242">
        <v>189</v>
      </c>
      <c r="C242">
        <v>19</v>
      </c>
      <c r="D242" t="str">
        <f>IFERROR(VLOOKUP(C242, merchants!$A$2:$D$41, 2, FALSE), "Merchant not found")</f>
        <v>Merchant_019</v>
      </c>
      <c r="E242" t="str">
        <f>IFERROR(VLOOKUP(C242, merchants!$A$2:$D$41, 3, FALSE), "Merchant not found")</f>
        <v>grocery</v>
      </c>
      <c r="F242" t="str">
        <f>IFERROR(VLOOKUP(C242, merchants!$A$2:$D$41, 4, FALSE), "Merchant not found")</f>
        <v>North</v>
      </c>
      <c r="G242" s="1">
        <v>46037.043749999997</v>
      </c>
      <c r="H242">
        <v>99</v>
      </c>
      <c r="I242" t="s">
        <v>66</v>
      </c>
      <c r="J242" t="s">
        <v>79</v>
      </c>
      <c r="K242">
        <v>9</v>
      </c>
      <c r="L242">
        <f>IFERROR(HLOOKUP(TRIM(I242), FeeTable!$B$1:$H$2, 2, FALSE) * H242, 0)</f>
        <v>0</v>
      </c>
      <c r="M242" t="str">
        <f t="shared" si="3"/>
        <v>Standard</v>
      </c>
    </row>
    <row r="243" spans="1:13" x14ac:dyDescent="0.3">
      <c r="A243" t="s">
        <v>310</v>
      </c>
      <c r="B243">
        <v>305</v>
      </c>
      <c r="C243">
        <v>33</v>
      </c>
      <c r="D243" t="str">
        <f>IFERROR(VLOOKUP(C243, merchants!$A$2:$D$41, 2, FALSE), "Merchant not found")</f>
        <v>Merchant_033</v>
      </c>
      <c r="E243" t="str">
        <f>IFERROR(VLOOKUP(C243, merchants!$A$2:$D$41, 3, FALSE), "Merchant not found")</f>
        <v>bill_payment</v>
      </c>
      <c r="F243" t="str">
        <f>IFERROR(VLOOKUP(C243, merchants!$A$2:$D$41, 4, FALSE), "Merchant not found")</f>
        <v>East</v>
      </c>
      <c r="G243" s="1">
        <v>46043.11041666667</v>
      </c>
      <c r="H243">
        <v>299</v>
      </c>
      <c r="I243" t="s">
        <v>78</v>
      </c>
      <c r="J243" t="s">
        <v>64</v>
      </c>
      <c r="K243">
        <v>49</v>
      </c>
      <c r="L243">
        <f>IFERROR(HLOOKUP(TRIM(I243), FeeTable!$B$1:$H$2, 2, FALSE) * H243, 0)</f>
        <v>5.3819999999999997</v>
      </c>
      <c r="M243" t="str">
        <f t="shared" si="3"/>
        <v>Standard</v>
      </c>
    </row>
    <row r="244" spans="1:13" x14ac:dyDescent="0.3">
      <c r="A244" t="s">
        <v>311</v>
      </c>
      <c r="B244">
        <v>22</v>
      </c>
      <c r="C244">
        <v>29</v>
      </c>
      <c r="D244" t="str">
        <f>IFERROR(VLOOKUP(C244, merchants!$A$2:$D$41, 2, FALSE), "Merchant not found")</f>
        <v>Merchant_029</v>
      </c>
      <c r="E244" t="str">
        <f>IFERROR(VLOOKUP(C244, merchants!$A$2:$D$41, 3, FALSE), "Merchant not found")</f>
        <v>ecommerce</v>
      </c>
      <c r="F244" t="str">
        <f>IFERROR(VLOOKUP(C244, merchants!$A$2:$D$41, 4, FALSE), "Merchant not found")</f>
        <v>North</v>
      </c>
      <c r="G244" s="1">
        <v>46037.774305555555</v>
      </c>
      <c r="H244">
        <v>799</v>
      </c>
      <c r="I244" t="s">
        <v>66</v>
      </c>
      <c r="J244" t="s">
        <v>64</v>
      </c>
      <c r="K244">
        <v>73</v>
      </c>
      <c r="L244">
        <f>IFERROR(HLOOKUP(TRIM(I244), FeeTable!$B$1:$H$2, 2, FALSE) * H244, 0)</f>
        <v>0</v>
      </c>
      <c r="M244" t="str">
        <f t="shared" si="3"/>
        <v>Standard</v>
      </c>
    </row>
    <row r="245" spans="1:13" x14ac:dyDescent="0.3">
      <c r="A245" t="s">
        <v>312</v>
      </c>
      <c r="B245">
        <v>310</v>
      </c>
      <c r="C245">
        <v>31</v>
      </c>
      <c r="D245" t="str">
        <f>IFERROR(VLOOKUP(C245, merchants!$A$2:$D$41, 2, FALSE), "Merchant not found")</f>
        <v>Merchant_031</v>
      </c>
      <c r="E245" t="str">
        <f>IFERROR(VLOOKUP(C245, merchants!$A$2:$D$41, 3, FALSE), "Merchant not found")</f>
        <v>bill_payment</v>
      </c>
      <c r="F245" t="str">
        <f>IFERROR(VLOOKUP(C245, merchants!$A$2:$D$41, 4, FALSE), "Merchant not found")</f>
        <v>East</v>
      </c>
      <c r="G245" s="1">
        <v>46043.263888888891</v>
      </c>
      <c r="H245">
        <v>49</v>
      </c>
      <c r="I245" t="s">
        <v>78</v>
      </c>
      <c r="J245" t="s">
        <v>64</v>
      </c>
      <c r="K245">
        <v>64</v>
      </c>
      <c r="L245">
        <f>IFERROR(HLOOKUP(TRIM(I245), FeeTable!$B$1:$H$2, 2, FALSE) * H245, 0)</f>
        <v>0.8819999999999999</v>
      </c>
      <c r="M245" t="str">
        <f t="shared" si="3"/>
        <v>Standard</v>
      </c>
    </row>
    <row r="246" spans="1:13" x14ac:dyDescent="0.3">
      <c r="A246" t="s">
        <v>313</v>
      </c>
      <c r="B246">
        <v>53</v>
      </c>
      <c r="C246">
        <v>22</v>
      </c>
      <c r="D246" t="str">
        <f>IFERROR(VLOOKUP(C246, merchants!$A$2:$D$41, 2, FALSE), "Merchant not found")</f>
        <v>Merchant_022</v>
      </c>
      <c r="E246" t="str">
        <f>IFERROR(VLOOKUP(C246, merchants!$A$2:$D$41, 3, FALSE), "Merchant not found")</f>
        <v>travel</v>
      </c>
      <c r="F246" t="str">
        <f>IFERROR(VLOOKUP(C246, merchants!$A$2:$D$41, 4, FALSE), "Merchant not found")</f>
        <v>South</v>
      </c>
      <c r="G246" s="1">
        <v>46027.061111111114</v>
      </c>
      <c r="H246">
        <v>299</v>
      </c>
      <c r="I246" t="s">
        <v>66</v>
      </c>
      <c r="J246" t="s">
        <v>64</v>
      </c>
      <c r="K246">
        <v>91</v>
      </c>
      <c r="L246">
        <f>IFERROR(HLOOKUP(TRIM(I246), FeeTable!$B$1:$H$2, 2, FALSE) * H246, 0)</f>
        <v>0</v>
      </c>
      <c r="M246" t="str">
        <f t="shared" si="3"/>
        <v>Standard</v>
      </c>
    </row>
    <row r="247" spans="1:13" x14ac:dyDescent="0.3">
      <c r="A247" t="s">
        <v>314</v>
      </c>
      <c r="B247">
        <v>89</v>
      </c>
      <c r="C247">
        <v>3</v>
      </c>
      <c r="D247" t="str">
        <f>IFERROR(VLOOKUP(C247, merchants!$A$2:$D$41, 2, FALSE), "Merchant not found")</f>
        <v>Merchant_003</v>
      </c>
      <c r="E247" t="str">
        <f>IFERROR(VLOOKUP(C247, merchants!$A$2:$D$41, 3, FALSE), "Merchant not found")</f>
        <v>grocery</v>
      </c>
      <c r="F247" t="str">
        <f>IFERROR(VLOOKUP(C247, merchants!$A$2:$D$41, 4, FALSE), "Merchant not found")</f>
        <v>East</v>
      </c>
      <c r="G247" s="1">
        <v>46025.695138888892</v>
      </c>
      <c r="H247">
        <v>149</v>
      </c>
      <c r="I247" t="s">
        <v>78</v>
      </c>
      <c r="J247" t="s">
        <v>64</v>
      </c>
      <c r="K247">
        <v>31</v>
      </c>
      <c r="L247">
        <f>IFERROR(HLOOKUP(TRIM(I247), FeeTable!$B$1:$H$2, 2, FALSE) * H247, 0)</f>
        <v>2.6819999999999999</v>
      </c>
      <c r="M247" t="str">
        <f t="shared" si="3"/>
        <v>Standard</v>
      </c>
    </row>
    <row r="248" spans="1:13" x14ac:dyDescent="0.3">
      <c r="A248" t="s">
        <v>315</v>
      </c>
      <c r="B248">
        <v>269</v>
      </c>
      <c r="C248">
        <v>34</v>
      </c>
      <c r="D248" t="str">
        <f>IFERROR(VLOOKUP(C248, merchants!$A$2:$D$41, 2, FALSE), "Merchant not found")</f>
        <v>Merchant_034</v>
      </c>
      <c r="E248" t="str">
        <f>IFERROR(VLOOKUP(C248, merchants!$A$2:$D$41, 3, FALSE), "Merchant not found")</f>
        <v>travel</v>
      </c>
      <c r="F248" t="str">
        <f>IFERROR(VLOOKUP(C248, merchants!$A$2:$D$41, 4, FALSE), "Merchant not found")</f>
        <v>South</v>
      </c>
      <c r="G248" s="1">
        <v>46045.602777777778</v>
      </c>
      <c r="H248">
        <v>149</v>
      </c>
      <c r="I248" t="s">
        <v>66</v>
      </c>
      <c r="J248" t="s">
        <v>64</v>
      </c>
      <c r="K248">
        <v>78</v>
      </c>
      <c r="L248">
        <f>IFERROR(HLOOKUP(TRIM(I248), FeeTable!$B$1:$H$2, 2, FALSE) * H248, 0)</f>
        <v>0</v>
      </c>
      <c r="M248" t="str">
        <f t="shared" si="3"/>
        <v>Standard</v>
      </c>
    </row>
    <row r="249" spans="1:13" x14ac:dyDescent="0.3">
      <c r="A249" t="s">
        <v>316</v>
      </c>
      <c r="B249">
        <v>145</v>
      </c>
      <c r="C249">
        <v>25</v>
      </c>
      <c r="D249" t="str">
        <f>IFERROR(VLOOKUP(C249, merchants!$A$2:$D$41, 2, FALSE), "Merchant not found")</f>
        <v>Merchant_025</v>
      </c>
      <c r="E249" t="str">
        <f>IFERROR(VLOOKUP(C249, merchants!$A$2:$D$41, 3, FALSE), "Merchant not found")</f>
        <v>travel</v>
      </c>
      <c r="F249" t="str">
        <f>IFERROR(VLOOKUP(C249, merchants!$A$2:$D$41, 4, FALSE), "Merchant not found")</f>
        <v>South</v>
      </c>
      <c r="G249" s="1">
        <v>46028.474305555559</v>
      </c>
      <c r="H249">
        <v>799</v>
      </c>
      <c r="I249" t="s">
        <v>66</v>
      </c>
      <c r="J249" t="s">
        <v>64</v>
      </c>
      <c r="K249">
        <v>52</v>
      </c>
      <c r="L249">
        <f>IFERROR(HLOOKUP(TRIM(I249), FeeTable!$B$1:$H$2, 2, FALSE) * H249, 0)</f>
        <v>0</v>
      </c>
      <c r="M249" t="str">
        <f t="shared" si="3"/>
        <v>Standard</v>
      </c>
    </row>
    <row r="250" spans="1:13" x14ac:dyDescent="0.3">
      <c r="A250" t="s">
        <v>317</v>
      </c>
      <c r="B250">
        <v>307</v>
      </c>
      <c r="C250">
        <v>4</v>
      </c>
      <c r="D250" t="str">
        <f>IFERROR(VLOOKUP(C250, merchants!$A$2:$D$41, 2, FALSE), "Merchant not found")</f>
        <v>Merchant_004</v>
      </c>
      <c r="E250" t="str">
        <f>IFERROR(VLOOKUP(C250, merchants!$A$2:$D$41, 3, FALSE), "Merchant not found")</f>
        <v>ecommerce</v>
      </c>
      <c r="F250" t="str">
        <f>IFERROR(VLOOKUP(C250, merchants!$A$2:$D$41, 4, FALSE), "Merchant not found")</f>
        <v>East</v>
      </c>
      <c r="G250" s="1">
        <v>46047.446527777778</v>
      </c>
      <c r="H250">
        <v>1499</v>
      </c>
      <c r="I250" t="s">
        <v>66</v>
      </c>
      <c r="J250" t="s">
        <v>64</v>
      </c>
      <c r="K250">
        <v>80</v>
      </c>
      <c r="L250">
        <f>IFERROR(HLOOKUP(TRIM(I250), FeeTable!$B$1:$H$2, 2, FALSE) * H250, 0)</f>
        <v>0</v>
      </c>
      <c r="M250" t="str">
        <f t="shared" si="3"/>
        <v>Standard</v>
      </c>
    </row>
    <row r="251" spans="1:13" x14ac:dyDescent="0.3">
      <c r="A251" t="s">
        <v>318</v>
      </c>
      <c r="B251">
        <v>169</v>
      </c>
      <c r="C251">
        <v>7</v>
      </c>
      <c r="D251" t="str">
        <f>IFERROR(VLOOKUP(C251, merchants!$A$2:$D$41, 2, FALSE), "Merchant not found")</f>
        <v>Merchant_007</v>
      </c>
      <c r="E251" t="str">
        <f>IFERROR(VLOOKUP(C251, merchants!$A$2:$D$41, 3, FALSE), "Merchant not found")</f>
        <v>food_delivery</v>
      </c>
      <c r="F251" t="str">
        <f>IFERROR(VLOOKUP(C251, merchants!$A$2:$D$41, 4, FALSE), "Merchant not found")</f>
        <v>East</v>
      </c>
      <c r="G251" s="1">
        <v>46043.419444444444</v>
      </c>
      <c r="H251">
        <v>1499</v>
      </c>
      <c r="I251" t="s">
        <v>63</v>
      </c>
      <c r="J251" t="s">
        <v>64</v>
      </c>
      <c r="K251">
        <v>71</v>
      </c>
      <c r="L251">
        <f>IFERROR(HLOOKUP(TRIM(I251), FeeTable!$B$1:$H$2, 2, FALSE) * H251, 0)</f>
        <v>16.489000000000001</v>
      </c>
      <c r="M251" t="str">
        <f t="shared" si="3"/>
        <v>Standard</v>
      </c>
    </row>
    <row r="252" spans="1:13" x14ac:dyDescent="0.3">
      <c r="A252" t="s">
        <v>319</v>
      </c>
      <c r="B252">
        <v>130</v>
      </c>
      <c r="C252">
        <v>39</v>
      </c>
      <c r="D252" t="str">
        <f>IFERROR(VLOOKUP(C252, merchants!$A$2:$D$41, 2, FALSE), "Merchant not found")</f>
        <v>Merchant_039</v>
      </c>
      <c r="E252" t="str">
        <f>IFERROR(VLOOKUP(C252, merchants!$A$2:$D$41, 3, FALSE), "Merchant not found")</f>
        <v>entertainment</v>
      </c>
      <c r="F252" t="str">
        <f>IFERROR(VLOOKUP(C252, merchants!$A$2:$D$41, 4, FALSE), "Merchant not found")</f>
        <v>North</v>
      </c>
      <c r="G252" s="1">
        <v>46044.512499999997</v>
      </c>
      <c r="H252">
        <v>2999</v>
      </c>
      <c r="I252" t="s">
        <v>63</v>
      </c>
      <c r="J252" t="s">
        <v>64</v>
      </c>
      <c r="K252">
        <v>19</v>
      </c>
      <c r="L252">
        <f>IFERROR(HLOOKUP(TRIM(I252), FeeTable!$B$1:$H$2, 2, FALSE) * H252, 0)</f>
        <v>32.988999999999997</v>
      </c>
      <c r="M252" t="str">
        <f t="shared" si="3"/>
        <v>Standard</v>
      </c>
    </row>
    <row r="253" spans="1:13" x14ac:dyDescent="0.3">
      <c r="A253" t="s">
        <v>320</v>
      </c>
      <c r="B253">
        <v>340</v>
      </c>
      <c r="C253">
        <v>10</v>
      </c>
      <c r="D253" t="str">
        <f>IFERROR(VLOOKUP(C253, merchants!$A$2:$D$41, 2, FALSE), "Merchant not found")</f>
        <v>Merchant_010</v>
      </c>
      <c r="E253" t="str">
        <f>IFERROR(VLOOKUP(C253, merchants!$A$2:$D$41, 3, FALSE), "Merchant not found")</f>
        <v>grocery</v>
      </c>
      <c r="F253" t="str">
        <f>IFERROR(VLOOKUP(C253, merchants!$A$2:$D$41, 4, FALSE), "Merchant not found")</f>
        <v>West</v>
      </c>
      <c r="G253" s="1">
        <v>46033.109027777777</v>
      </c>
      <c r="H253">
        <v>49</v>
      </c>
      <c r="I253" t="s">
        <v>78</v>
      </c>
      <c r="J253" t="s">
        <v>64</v>
      </c>
      <c r="K253">
        <v>44</v>
      </c>
      <c r="L253">
        <f>IFERROR(HLOOKUP(TRIM(I253), FeeTable!$B$1:$H$2, 2, FALSE) * H253, 0)</f>
        <v>0.8819999999999999</v>
      </c>
      <c r="M253" t="str">
        <f t="shared" si="3"/>
        <v>Standard</v>
      </c>
    </row>
    <row r="254" spans="1:13" x14ac:dyDescent="0.3">
      <c r="A254" t="s">
        <v>321</v>
      </c>
      <c r="B254">
        <v>340</v>
      </c>
      <c r="C254">
        <v>26</v>
      </c>
      <c r="D254" t="str">
        <f>IFERROR(VLOOKUP(C254, merchants!$A$2:$D$41, 2, FALSE), "Merchant not found")</f>
        <v>Merchant_026</v>
      </c>
      <c r="E254" t="str">
        <f>IFERROR(VLOOKUP(C254, merchants!$A$2:$D$41, 3, FALSE), "Merchant not found")</f>
        <v>food_delivery</v>
      </c>
      <c r="F254" t="str">
        <f>IFERROR(VLOOKUP(C254, merchants!$A$2:$D$41, 4, FALSE), "Merchant not found")</f>
        <v>East</v>
      </c>
      <c r="G254" s="1">
        <v>46032.863888888889</v>
      </c>
      <c r="H254">
        <v>299</v>
      </c>
      <c r="I254" t="s">
        <v>78</v>
      </c>
      <c r="J254" t="s">
        <v>64</v>
      </c>
      <c r="K254">
        <v>16</v>
      </c>
      <c r="L254">
        <f>IFERROR(HLOOKUP(TRIM(I254), FeeTable!$B$1:$H$2, 2, FALSE) * H254, 0)</f>
        <v>5.3819999999999997</v>
      </c>
      <c r="M254" t="str">
        <f t="shared" si="3"/>
        <v>Standard</v>
      </c>
    </row>
    <row r="255" spans="1:13" x14ac:dyDescent="0.3">
      <c r="A255" t="s">
        <v>322</v>
      </c>
      <c r="B255">
        <v>159</v>
      </c>
      <c r="C255">
        <v>36</v>
      </c>
      <c r="D255" t="str">
        <f>IFERROR(VLOOKUP(C255, merchants!$A$2:$D$41, 2, FALSE), "Merchant not found")</f>
        <v>Merchant_036</v>
      </c>
      <c r="E255" t="str">
        <f>IFERROR(VLOOKUP(C255, merchants!$A$2:$D$41, 3, FALSE), "Merchant not found")</f>
        <v>entertainment</v>
      </c>
      <c r="F255" t="str">
        <f>IFERROR(VLOOKUP(C255, merchants!$A$2:$D$41, 4, FALSE), "Merchant not found")</f>
        <v>East</v>
      </c>
      <c r="G255" s="1">
        <v>46042.920138888891</v>
      </c>
      <c r="H255">
        <v>49</v>
      </c>
      <c r="I255" t="s">
        <v>66</v>
      </c>
      <c r="J255" t="s">
        <v>64</v>
      </c>
      <c r="K255">
        <v>48</v>
      </c>
      <c r="L255">
        <f>IFERROR(HLOOKUP(TRIM(I255), FeeTable!$B$1:$H$2, 2, FALSE) * H255, 0)</f>
        <v>0</v>
      </c>
      <c r="M255" t="str">
        <f t="shared" si="3"/>
        <v>Standard</v>
      </c>
    </row>
    <row r="256" spans="1:13" x14ac:dyDescent="0.3">
      <c r="A256" t="s">
        <v>323</v>
      </c>
      <c r="B256">
        <v>66</v>
      </c>
      <c r="C256">
        <v>34</v>
      </c>
      <c r="D256" t="str">
        <f>IFERROR(VLOOKUP(C256, merchants!$A$2:$D$41, 2, FALSE), "Merchant not found")</f>
        <v>Merchant_034</v>
      </c>
      <c r="E256" t="str">
        <f>IFERROR(VLOOKUP(C256, merchants!$A$2:$D$41, 3, FALSE), "Merchant not found")</f>
        <v>travel</v>
      </c>
      <c r="F256" t="str">
        <f>IFERROR(VLOOKUP(C256, merchants!$A$2:$D$41, 4, FALSE), "Merchant not found")</f>
        <v>South</v>
      </c>
      <c r="G256" s="1">
        <v>46043.452777777777</v>
      </c>
      <c r="H256">
        <v>799</v>
      </c>
      <c r="I256" t="s">
        <v>66</v>
      </c>
      <c r="J256" t="s">
        <v>64</v>
      </c>
      <c r="K256">
        <v>11</v>
      </c>
      <c r="L256">
        <f>IFERROR(HLOOKUP(TRIM(I256), FeeTable!$B$1:$H$2, 2, FALSE) * H256, 0)</f>
        <v>0</v>
      </c>
      <c r="M256" t="str">
        <f t="shared" si="3"/>
        <v>Standard</v>
      </c>
    </row>
    <row r="257" spans="1:13" x14ac:dyDescent="0.3">
      <c r="A257" t="s">
        <v>324</v>
      </c>
      <c r="B257">
        <v>261</v>
      </c>
      <c r="C257">
        <v>24</v>
      </c>
      <c r="D257" t="str">
        <f>IFERROR(VLOOKUP(C257, merchants!$A$2:$D$41, 2, FALSE), "Merchant not found")</f>
        <v>Merchant_024</v>
      </c>
      <c r="E257" t="str">
        <f>IFERROR(VLOOKUP(C257, merchants!$A$2:$D$41, 3, FALSE), "Merchant not found")</f>
        <v>grocery</v>
      </c>
      <c r="F257" t="str">
        <f>IFERROR(VLOOKUP(C257, merchants!$A$2:$D$41, 4, FALSE), "Merchant not found")</f>
        <v>North</v>
      </c>
      <c r="G257" s="1">
        <v>46043.893750000003</v>
      </c>
      <c r="H257">
        <v>799</v>
      </c>
      <c r="I257" t="s">
        <v>78</v>
      </c>
      <c r="J257" t="s">
        <v>64</v>
      </c>
      <c r="K257">
        <v>2</v>
      </c>
      <c r="L257">
        <f>IFERROR(HLOOKUP(TRIM(I257), FeeTable!$B$1:$H$2, 2, FALSE) * H257, 0)</f>
        <v>14.382</v>
      </c>
      <c r="M257" t="str">
        <f t="shared" si="3"/>
        <v>Standard</v>
      </c>
    </row>
    <row r="258" spans="1:13" x14ac:dyDescent="0.3">
      <c r="A258" t="s">
        <v>325</v>
      </c>
      <c r="B258">
        <v>110</v>
      </c>
      <c r="C258">
        <v>22</v>
      </c>
      <c r="D258" t="str">
        <f>IFERROR(VLOOKUP(C258, merchants!$A$2:$D$41, 2, FALSE), "Merchant not found")</f>
        <v>Merchant_022</v>
      </c>
      <c r="E258" t="str">
        <f>IFERROR(VLOOKUP(C258, merchants!$A$2:$D$41, 3, FALSE), "Merchant not found")</f>
        <v>travel</v>
      </c>
      <c r="F258" t="str">
        <f>IFERROR(VLOOKUP(C258, merchants!$A$2:$D$41, 4, FALSE), "Merchant not found")</f>
        <v>South</v>
      </c>
      <c r="G258" s="1">
        <v>46034.382638888892</v>
      </c>
      <c r="H258">
        <v>799</v>
      </c>
      <c r="I258" t="s">
        <v>66</v>
      </c>
      <c r="J258" t="s">
        <v>64</v>
      </c>
      <c r="K258">
        <v>98</v>
      </c>
      <c r="L258">
        <f>IFERROR(HLOOKUP(TRIM(I258), FeeTable!$B$1:$H$2, 2, FALSE) * H258, 0)</f>
        <v>0</v>
      </c>
      <c r="M258" t="str">
        <f t="shared" si="3"/>
        <v>Standard</v>
      </c>
    </row>
    <row r="259" spans="1:13" x14ac:dyDescent="0.3">
      <c r="A259" t="s">
        <v>326</v>
      </c>
      <c r="B259">
        <v>71</v>
      </c>
      <c r="C259">
        <v>10</v>
      </c>
      <c r="D259" t="str">
        <f>IFERROR(VLOOKUP(C259, merchants!$A$2:$D$41, 2, FALSE), "Merchant not found")</f>
        <v>Merchant_010</v>
      </c>
      <c r="E259" t="str">
        <f>IFERROR(VLOOKUP(C259, merchants!$A$2:$D$41, 3, FALSE), "Merchant not found")</f>
        <v>grocery</v>
      </c>
      <c r="F259" t="str">
        <f>IFERROR(VLOOKUP(C259, merchants!$A$2:$D$41, 4, FALSE), "Merchant not found")</f>
        <v>West</v>
      </c>
      <c r="G259" s="1">
        <v>46038.259722222225</v>
      </c>
      <c r="H259">
        <v>49</v>
      </c>
      <c r="I259" t="s">
        <v>66</v>
      </c>
      <c r="J259" t="s">
        <v>64</v>
      </c>
      <c r="K259">
        <v>9</v>
      </c>
      <c r="L259">
        <f>IFERROR(HLOOKUP(TRIM(I259), FeeTable!$B$1:$H$2, 2, FALSE) * H259, 0)</f>
        <v>0</v>
      </c>
      <c r="M259" t="str">
        <f t="shared" ref="M259:M322" si="4">IF(AND(H259 &gt; 5000, F259 &lt;&gt; "East"), "High-Value Merchant Day", "Standard")</f>
        <v>Standard</v>
      </c>
    </row>
    <row r="260" spans="1:13" x14ac:dyDescent="0.3">
      <c r="A260" t="s">
        <v>327</v>
      </c>
      <c r="B260">
        <v>277</v>
      </c>
      <c r="C260">
        <v>34</v>
      </c>
      <c r="D260" t="str">
        <f>IFERROR(VLOOKUP(C260, merchants!$A$2:$D$41, 2, FALSE), "Merchant not found")</f>
        <v>Merchant_034</v>
      </c>
      <c r="E260" t="str">
        <f>IFERROR(VLOOKUP(C260, merchants!$A$2:$D$41, 3, FALSE), "Merchant not found")</f>
        <v>travel</v>
      </c>
      <c r="F260" t="str">
        <f>IFERROR(VLOOKUP(C260, merchants!$A$2:$D$41, 4, FALSE), "Merchant not found")</f>
        <v>South</v>
      </c>
      <c r="G260" s="1">
        <v>46032.147222222222</v>
      </c>
      <c r="H260">
        <v>49</v>
      </c>
      <c r="I260" t="s">
        <v>66</v>
      </c>
      <c r="J260" t="s">
        <v>64</v>
      </c>
      <c r="K260">
        <v>4</v>
      </c>
      <c r="L260">
        <f>IFERROR(HLOOKUP(TRIM(I260), FeeTable!$B$1:$H$2, 2, FALSE) * H260, 0)</f>
        <v>0</v>
      </c>
      <c r="M260" t="str">
        <f t="shared" si="4"/>
        <v>Standard</v>
      </c>
    </row>
    <row r="261" spans="1:13" x14ac:dyDescent="0.3">
      <c r="A261" t="s">
        <v>328</v>
      </c>
      <c r="B261">
        <v>317</v>
      </c>
      <c r="C261">
        <v>9</v>
      </c>
      <c r="D261" t="str">
        <f>IFERROR(VLOOKUP(C261, merchants!$A$2:$D$41, 2, FALSE), "Merchant not found")</f>
        <v>Merchant_009</v>
      </c>
      <c r="E261" t="str">
        <f>IFERROR(VLOOKUP(C261, merchants!$A$2:$D$41, 3, FALSE), "Merchant not found")</f>
        <v>ecommerce</v>
      </c>
      <c r="F261" t="str">
        <f>IFERROR(VLOOKUP(C261, merchants!$A$2:$D$41, 4, FALSE), "Merchant not found")</f>
        <v>North</v>
      </c>
      <c r="G261" s="1">
        <v>46044.455555555556</v>
      </c>
      <c r="H261">
        <v>499</v>
      </c>
      <c r="I261" t="s">
        <v>63</v>
      </c>
      <c r="J261" t="s">
        <v>64</v>
      </c>
      <c r="K261">
        <v>76</v>
      </c>
      <c r="L261">
        <f>IFERROR(HLOOKUP(TRIM(I261), FeeTable!$B$1:$H$2, 2, FALSE) * H261, 0)</f>
        <v>5.4889999999999999</v>
      </c>
      <c r="M261" t="str">
        <f t="shared" si="4"/>
        <v>Standard</v>
      </c>
    </row>
    <row r="262" spans="1:13" x14ac:dyDescent="0.3">
      <c r="A262" t="s">
        <v>329</v>
      </c>
      <c r="B262">
        <v>93</v>
      </c>
      <c r="C262">
        <v>40</v>
      </c>
      <c r="D262" t="str">
        <f>IFERROR(VLOOKUP(C262, merchants!$A$2:$D$41, 2, FALSE), "Merchant not found")</f>
        <v>Merchant_040</v>
      </c>
      <c r="E262" t="str">
        <f>IFERROR(VLOOKUP(C262, merchants!$A$2:$D$41, 3, FALSE), "Merchant not found")</f>
        <v>entertainment</v>
      </c>
      <c r="F262" t="str">
        <f>IFERROR(VLOOKUP(C262, merchants!$A$2:$D$41, 4, FALSE), "Merchant not found")</f>
        <v>South</v>
      </c>
      <c r="G262" s="1">
        <v>46035.173611111109</v>
      </c>
      <c r="H262">
        <v>299</v>
      </c>
      <c r="I262" t="s">
        <v>66</v>
      </c>
      <c r="J262" t="s">
        <v>64</v>
      </c>
      <c r="K262">
        <v>21</v>
      </c>
      <c r="L262">
        <f>IFERROR(HLOOKUP(TRIM(I262), FeeTable!$B$1:$H$2, 2, FALSE) * H262, 0)</f>
        <v>0</v>
      </c>
      <c r="M262" t="str">
        <f t="shared" si="4"/>
        <v>Standard</v>
      </c>
    </row>
    <row r="263" spans="1:13" x14ac:dyDescent="0.3">
      <c r="A263" t="s">
        <v>330</v>
      </c>
      <c r="B263">
        <v>211</v>
      </c>
      <c r="C263">
        <v>24</v>
      </c>
      <c r="D263" t="str">
        <f>IFERROR(VLOOKUP(C263, merchants!$A$2:$D$41, 2, FALSE), "Merchant not found")</f>
        <v>Merchant_024</v>
      </c>
      <c r="E263" t="str">
        <f>IFERROR(VLOOKUP(C263, merchants!$A$2:$D$41, 3, FALSE), "Merchant not found")</f>
        <v>grocery</v>
      </c>
      <c r="F263" t="str">
        <f>IFERROR(VLOOKUP(C263, merchants!$A$2:$D$41, 4, FALSE), "Merchant not found")</f>
        <v>North</v>
      </c>
      <c r="G263" s="1">
        <v>46046.584722222222</v>
      </c>
      <c r="H263">
        <v>99</v>
      </c>
      <c r="I263" t="s">
        <v>69</v>
      </c>
      <c r="J263" t="s">
        <v>64</v>
      </c>
      <c r="K263">
        <v>86</v>
      </c>
      <c r="L263">
        <f>IFERROR(HLOOKUP(TRIM(I263), FeeTable!$B$1:$H$2, 2, FALSE) * H263, 0)</f>
        <v>1.4849999999999999</v>
      </c>
      <c r="M263" t="str">
        <f t="shared" si="4"/>
        <v>Standard</v>
      </c>
    </row>
    <row r="264" spans="1:13" x14ac:dyDescent="0.3">
      <c r="A264" t="s">
        <v>331</v>
      </c>
      <c r="B264">
        <v>313</v>
      </c>
      <c r="C264">
        <v>19</v>
      </c>
      <c r="D264" t="str">
        <f>IFERROR(VLOOKUP(C264, merchants!$A$2:$D$41, 2, FALSE), "Merchant not found")</f>
        <v>Merchant_019</v>
      </c>
      <c r="E264" t="str">
        <f>IFERROR(VLOOKUP(C264, merchants!$A$2:$D$41, 3, FALSE), "Merchant not found")</f>
        <v>grocery</v>
      </c>
      <c r="F264" t="str">
        <f>IFERROR(VLOOKUP(C264, merchants!$A$2:$D$41, 4, FALSE), "Merchant not found")</f>
        <v>North</v>
      </c>
      <c r="G264" s="1">
        <v>46046.311111111114</v>
      </c>
      <c r="H264">
        <v>149</v>
      </c>
      <c r="I264" t="s">
        <v>66</v>
      </c>
      <c r="J264" t="s">
        <v>64</v>
      </c>
      <c r="K264">
        <v>96</v>
      </c>
      <c r="L264">
        <f>IFERROR(HLOOKUP(TRIM(I264), FeeTable!$B$1:$H$2, 2, FALSE) * H264, 0)</f>
        <v>0</v>
      </c>
      <c r="M264" t="str">
        <f t="shared" si="4"/>
        <v>Standard</v>
      </c>
    </row>
    <row r="265" spans="1:13" x14ac:dyDescent="0.3">
      <c r="A265" t="s">
        <v>332</v>
      </c>
      <c r="B265">
        <v>274</v>
      </c>
      <c r="C265">
        <v>16</v>
      </c>
      <c r="D265" t="str">
        <f>IFERROR(VLOOKUP(C265, merchants!$A$2:$D$41, 2, FALSE), "Merchant not found")</f>
        <v>Merchant_016</v>
      </c>
      <c r="E265" t="str">
        <f>IFERROR(VLOOKUP(C265, merchants!$A$2:$D$41, 3, FALSE), "Merchant not found")</f>
        <v>bill_payment</v>
      </c>
      <c r="F265" t="str">
        <f>IFERROR(VLOOKUP(C265, merchants!$A$2:$D$41, 4, FALSE), "Merchant not found")</f>
        <v>West</v>
      </c>
      <c r="G265" s="1">
        <v>46046.593055555553</v>
      </c>
      <c r="H265">
        <v>49</v>
      </c>
      <c r="I265" t="s">
        <v>63</v>
      </c>
      <c r="J265" t="s">
        <v>79</v>
      </c>
      <c r="K265">
        <v>39</v>
      </c>
      <c r="L265">
        <f>IFERROR(HLOOKUP(TRIM(I265), FeeTable!$B$1:$H$2, 2, FALSE) * H265, 0)</f>
        <v>0.53899999999999992</v>
      </c>
      <c r="M265" t="str">
        <f t="shared" si="4"/>
        <v>Standard</v>
      </c>
    </row>
    <row r="266" spans="1:13" x14ac:dyDescent="0.3">
      <c r="A266" t="s">
        <v>333</v>
      </c>
      <c r="B266">
        <v>100</v>
      </c>
      <c r="C266">
        <v>24</v>
      </c>
      <c r="D266" t="str">
        <f>IFERROR(VLOOKUP(C266, merchants!$A$2:$D$41, 2, FALSE), "Merchant not found")</f>
        <v>Merchant_024</v>
      </c>
      <c r="E266" t="str">
        <f>IFERROR(VLOOKUP(C266, merchants!$A$2:$D$41, 3, FALSE), "Merchant not found")</f>
        <v>grocery</v>
      </c>
      <c r="F266" t="str">
        <f>IFERROR(VLOOKUP(C266, merchants!$A$2:$D$41, 4, FALSE), "Merchant not found")</f>
        <v>North</v>
      </c>
      <c r="G266" s="1">
        <v>46048.664583333331</v>
      </c>
      <c r="H266">
        <v>299</v>
      </c>
      <c r="I266" t="s">
        <v>66</v>
      </c>
      <c r="J266" t="s">
        <v>64</v>
      </c>
      <c r="K266">
        <v>86</v>
      </c>
      <c r="L266">
        <f>IFERROR(HLOOKUP(TRIM(I266), FeeTable!$B$1:$H$2, 2, FALSE) * H266, 0)</f>
        <v>0</v>
      </c>
      <c r="M266" t="str">
        <f t="shared" si="4"/>
        <v>Standard</v>
      </c>
    </row>
    <row r="267" spans="1:13" x14ac:dyDescent="0.3">
      <c r="A267" t="s">
        <v>334</v>
      </c>
      <c r="B267">
        <v>145</v>
      </c>
      <c r="C267">
        <v>25</v>
      </c>
      <c r="D267" t="str">
        <f>IFERROR(VLOOKUP(C267, merchants!$A$2:$D$41, 2, FALSE), "Merchant not found")</f>
        <v>Merchant_025</v>
      </c>
      <c r="E267" t="str">
        <f>IFERROR(VLOOKUP(C267, merchants!$A$2:$D$41, 3, FALSE), "Merchant not found")</f>
        <v>travel</v>
      </c>
      <c r="F267" t="str">
        <f>IFERROR(VLOOKUP(C267, merchants!$A$2:$D$41, 4, FALSE), "Merchant not found")</f>
        <v>South</v>
      </c>
      <c r="G267" s="1">
        <v>46041.603472222225</v>
      </c>
      <c r="H267">
        <v>2999</v>
      </c>
      <c r="I267" t="s">
        <v>63</v>
      </c>
      <c r="J267" t="s">
        <v>64</v>
      </c>
      <c r="K267">
        <v>64</v>
      </c>
      <c r="L267">
        <f>IFERROR(HLOOKUP(TRIM(I267), FeeTable!$B$1:$H$2, 2, FALSE) * H267, 0)</f>
        <v>32.988999999999997</v>
      </c>
      <c r="M267" t="str">
        <f t="shared" si="4"/>
        <v>Standard</v>
      </c>
    </row>
    <row r="268" spans="1:13" x14ac:dyDescent="0.3">
      <c r="A268" t="s">
        <v>335</v>
      </c>
      <c r="B268">
        <v>103</v>
      </c>
      <c r="C268">
        <v>39</v>
      </c>
      <c r="D268" t="str">
        <f>IFERROR(VLOOKUP(C268, merchants!$A$2:$D$41, 2, FALSE), "Merchant not found")</f>
        <v>Merchant_039</v>
      </c>
      <c r="E268" t="str">
        <f>IFERROR(VLOOKUP(C268, merchants!$A$2:$D$41, 3, FALSE), "Merchant not found")</f>
        <v>entertainment</v>
      </c>
      <c r="F268" t="str">
        <f>IFERROR(VLOOKUP(C268, merchants!$A$2:$D$41, 4, FALSE), "Merchant not found")</f>
        <v>North</v>
      </c>
      <c r="G268" s="1">
        <v>46039.548611111109</v>
      </c>
      <c r="H268">
        <v>2999</v>
      </c>
      <c r="I268" t="s">
        <v>63</v>
      </c>
      <c r="J268" t="s">
        <v>64</v>
      </c>
      <c r="K268">
        <v>17</v>
      </c>
      <c r="L268">
        <f>IFERROR(HLOOKUP(TRIM(I268), FeeTable!$B$1:$H$2, 2, FALSE) * H268, 0)</f>
        <v>32.988999999999997</v>
      </c>
      <c r="M268" t="str">
        <f t="shared" si="4"/>
        <v>Standard</v>
      </c>
    </row>
    <row r="269" spans="1:13" x14ac:dyDescent="0.3">
      <c r="A269" t="s">
        <v>336</v>
      </c>
      <c r="B269">
        <v>329</v>
      </c>
      <c r="C269">
        <v>31</v>
      </c>
      <c r="D269" t="str">
        <f>IFERROR(VLOOKUP(C269, merchants!$A$2:$D$41, 2, FALSE), "Merchant not found")</f>
        <v>Merchant_031</v>
      </c>
      <c r="E269" t="str">
        <f>IFERROR(VLOOKUP(C269, merchants!$A$2:$D$41, 3, FALSE), "Merchant not found")</f>
        <v>bill_payment</v>
      </c>
      <c r="F269" t="str">
        <f>IFERROR(VLOOKUP(C269, merchants!$A$2:$D$41, 4, FALSE), "Merchant not found")</f>
        <v>East</v>
      </c>
      <c r="G269" s="1">
        <v>46050.335416666669</v>
      </c>
      <c r="H269">
        <v>299</v>
      </c>
      <c r="I269" t="s">
        <v>63</v>
      </c>
      <c r="J269" t="s">
        <v>64</v>
      </c>
      <c r="K269">
        <v>47</v>
      </c>
      <c r="L269">
        <f>IFERROR(HLOOKUP(TRIM(I269), FeeTable!$B$1:$H$2, 2, FALSE) * H269, 0)</f>
        <v>3.2889999999999997</v>
      </c>
      <c r="M269" t="str">
        <f t="shared" si="4"/>
        <v>Standard</v>
      </c>
    </row>
    <row r="270" spans="1:13" x14ac:dyDescent="0.3">
      <c r="A270" t="s">
        <v>337</v>
      </c>
      <c r="B270">
        <v>265</v>
      </c>
      <c r="C270">
        <v>8</v>
      </c>
      <c r="D270" t="str">
        <f>IFERROR(VLOOKUP(C270, merchants!$A$2:$D$41, 2, FALSE), "Merchant not found")</f>
        <v>Merchant_008</v>
      </c>
      <c r="E270" t="str">
        <f>IFERROR(VLOOKUP(C270, merchants!$A$2:$D$41, 3, FALSE), "Merchant not found")</f>
        <v>food_delivery</v>
      </c>
      <c r="F270" t="str">
        <f>IFERROR(VLOOKUP(C270, merchants!$A$2:$D$41, 4, FALSE), "Merchant not found")</f>
        <v>North</v>
      </c>
      <c r="G270" s="1">
        <v>46040.15625</v>
      </c>
      <c r="H270">
        <v>499</v>
      </c>
      <c r="I270" t="s">
        <v>69</v>
      </c>
      <c r="J270" t="s">
        <v>64</v>
      </c>
      <c r="K270">
        <v>36</v>
      </c>
      <c r="L270">
        <f>IFERROR(HLOOKUP(TRIM(I270), FeeTable!$B$1:$H$2, 2, FALSE) * H270, 0)</f>
        <v>7.4849999999999994</v>
      </c>
      <c r="M270" t="str">
        <f t="shared" si="4"/>
        <v>Standard</v>
      </c>
    </row>
    <row r="271" spans="1:13" x14ac:dyDescent="0.3">
      <c r="A271" t="s">
        <v>338</v>
      </c>
      <c r="B271">
        <v>231</v>
      </c>
      <c r="C271">
        <v>33</v>
      </c>
      <c r="D271" t="str">
        <f>IFERROR(VLOOKUP(C271, merchants!$A$2:$D$41, 2, FALSE), "Merchant not found")</f>
        <v>Merchant_033</v>
      </c>
      <c r="E271" t="str">
        <f>IFERROR(VLOOKUP(C271, merchants!$A$2:$D$41, 3, FALSE), "Merchant not found")</f>
        <v>bill_payment</v>
      </c>
      <c r="F271" t="str">
        <f>IFERROR(VLOOKUP(C271, merchants!$A$2:$D$41, 4, FALSE), "Merchant not found")</f>
        <v>East</v>
      </c>
      <c r="G271" s="1">
        <v>46025.220138888886</v>
      </c>
      <c r="H271">
        <v>149</v>
      </c>
      <c r="I271" t="s">
        <v>66</v>
      </c>
      <c r="J271" t="s">
        <v>79</v>
      </c>
      <c r="K271">
        <v>18</v>
      </c>
      <c r="L271">
        <f>IFERROR(HLOOKUP(TRIM(I271), FeeTable!$B$1:$H$2, 2, FALSE) * H271, 0)</f>
        <v>0</v>
      </c>
      <c r="M271" t="str">
        <f t="shared" si="4"/>
        <v>Standard</v>
      </c>
    </row>
    <row r="272" spans="1:13" x14ac:dyDescent="0.3">
      <c r="A272" t="s">
        <v>339</v>
      </c>
      <c r="B272">
        <v>114</v>
      </c>
      <c r="C272">
        <v>29</v>
      </c>
      <c r="D272" t="str">
        <f>IFERROR(VLOOKUP(C272, merchants!$A$2:$D$41, 2, FALSE), "Merchant not found")</f>
        <v>Merchant_029</v>
      </c>
      <c r="E272" t="str">
        <f>IFERROR(VLOOKUP(C272, merchants!$A$2:$D$41, 3, FALSE), "Merchant not found")</f>
        <v>ecommerce</v>
      </c>
      <c r="F272" t="str">
        <f>IFERROR(VLOOKUP(C272, merchants!$A$2:$D$41, 4, FALSE), "Merchant not found")</f>
        <v>North</v>
      </c>
      <c r="G272" s="1">
        <v>46049.545138888891</v>
      </c>
      <c r="H272">
        <v>799</v>
      </c>
      <c r="I272" t="s">
        <v>66</v>
      </c>
      <c r="J272" t="s">
        <v>92</v>
      </c>
      <c r="K272">
        <v>44</v>
      </c>
      <c r="L272">
        <f>IFERROR(HLOOKUP(TRIM(I272), FeeTable!$B$1:$H$2, 2, FALSE) * H272, 0)</f>
        <v>0</v>
      </c>
      <c r="M272" t="str">
        <f t="shared" si="4"/>
        <v>Standard</v>
      </c>
    </row>
    <row r="273" spans="1:13" x14ac:dyDescent="0.3">
      <c r="A273" t="s">
        <v>340</v>
      </c>
      <c r="B273">
        <v>28</v>
      </c>
      <c r="C273">
        <v>26</v>
      </c>
      <c r="D273" t="str">
        <f>IFERROR(VLOOKUP(C273, merchants!$A$2:$D$41, 2, FALSE), "Merchant not found")</f>
        <v>Merchant_026</v>
      </c>
      <c r="E273" t="str">
        <f>IFERROR(VLOOKUP(C273, merchants!$A$2:$D$41, 3, FALSE), "Merchant not found")</f>
        <v>food_delivery</v>
      </c>
      <c r="F273" t="str">
        <f>IFERROR(VLOOKUP(C273, merchants!$A$2:$D$41, 4, FALSE), "Merchant not found")</f>
        <v>East</v>
      </c>
      <c r="G273" s="1">
        <v>46052.018055555556</v>
      </c>
      <c r="H273">
        <v>1499</v>
      </c>
      <c r="I273" t="s">
        <v>66</v>
      </c>
      <c r="J273" t="s">
        <v>79</v>
      </c>
      <c r="K273">
        <v>64</v>
      </c>
      <c r="L273">
        <f>IFERROR(HLOOKUP(TRIM(I273), FeeTable!$B$1:$H$2, 2, FALSE) * H273, 0)</f>
        <v>0</v>
      </c>
      <c r="M273" t="str">
        <f t="shared" si="4"/>
        <v>Standard</v>
      </c>
    </row>
    <row r="274" spans="1:13" x14ac:dyDescent="0.3">
      <c r="A274" t="s">
        <v>341</v>
      </c>
      <c r="B274">
        <v>42</v>
      </c>
      <c r="C274">
        <v>24</v>
      </c>
      <c r="D274" t="str">
        <f>IFERROR(VLOOKUP(C274, merchants!$A$2:$D$41, 2, FALSE), "Merchant not found")</f>
        <v>Merchant_024</v>
      </c>
      <c r="E274" t="str">
        <f>IFERROR(VLOOKUP(C274, merchants!$A$2:$D$41, 3, FALSE), "Merchant not found")</f>
        <v>grocery</v>
      </c>
      <c r="F274" t="str">
        <f>IFERROR(VLOOKUP(C274, merchants!$A$2:$D$41, 4, FALSE), "Merchant not found")</f>
        <v>North</v>
      </c>
      <c r="G274" s="1">
        <v>46034.308333333334</v>
      </c>
      <c r="H274">
        <v>149</v>
      </c>
      <c r="I274" t="s">
        <v>66</v>
      </c>
      <c r="J274" t="s">
        <v>64</v>
      </c>
      <c r="K274">
        <v>28</v>
      </c>
      <c r="L274">
        <f>IFERROR(HLOOKUP(TRIM(I274), FeeTable!$B$1:$H$2, 2, FALSE) * H274, 0)</f>
        <v>0</v>
      </c>
      <c r="M274" t="str">
        <f t="shared" si="4"/>
        <v>Standard</v>
      </c>
    </row>
    <row r="275" spans="1:13" x14ac:dyDescent="0.3">
      <c r="A275" t="s">
        <v>342</v>
      </c>
      <c r="B275">
        <v>51</v>
      </c>
      <c r="C275">
        <v>22</v>
      </c>
      <c r="D275" t="str">
        <f>IFERROR(VLOOKUP(C275, merchants!$A$2:$D$41, 2, FALSE), "Merchant not found")</f>
        <v>Merchant_022</v>
      </c>
      <c r="E275" t="str">
        <f>IFERROR(VLOOKUP(C275, merchants!$A$2:$D$41, 3, FALSE), "Merchant not found")</f>
        <v>travel</v>
      </c>
      <c r="F275" t="str">
        <f>IFERROR(VLOOKUP(C275, merchants!$A$2:$D$41, 4, FALSE), "Merchant not found")</f>
        <v>South</v>
      </c>
      <c r="G275" s="1">
        <v>46023.457638888889</v>
      </c>
      <c r="H275">
        <v>799</v>
      </c>
      <c r="I275" t="s">
        <v>66</v>
      </c>
      <c r="J275" t="s">
        <v>64</v>
      </c>
      <c r="K275">
        <v>18</v>
      </c>
      <c r="L275">
        <f>IFERROR(HLOOKUP(TRIM(I275), FeeTable!$B$1:$H$2, 2, FALSE) * H275, 0)</f>
        <v>0</v>
      </c>
      <c r="M275" t="str">
        <f t="shared" si="4"/>
        <v>Standard</v>
      </c>
    </row>
    <row r="276" spans="1:13" x14ac:dyDescent="0.3">
      <c r="A276" t="s">
        <v>343</v>
      </c>
      <c r="B276">
        <v>242</v>
      </c>
      <c r="C276">
        <v>9</v>
      </c>
      <c r="D276" t="str">
        <f>IFERROR(VLOOKUP(C276, merchants!$A$2:$D$41, 2, FALSE), "Merchant not found")</f>
        <v>Merchant_009</v>
      </c>
      <c r="E276" t="str">
        <f>IFERROR(VLOOKUP(C276, merchants!$A$2:$D$41, 3, FALSE), "Merchant not found")</f>
        <v>ecommerce</v>
      </c>
      <c r="F276" t="str">
        <f>IFERROR(VLOOKUP(C276, merchants!$A$2:$D$41, 4, FALSE), "Merchant not found")</f>
        <v>North</v>
      </c>
      <c r="G276" s="1">
        <v>46027.054166666669</v>
      </c>
      <c r="H276">
        <v>149</v>
      </c>
      <c r="I276" t="s">
        <v>66</v>
      </c>
      <c r="J276" t="s">
        <v>64</v>
      </c>
      <c r="K276">
        <v>97</v>
      </c>
      <c r="L276">
        <f>IFERROR(HLOOKUP(TRIM(I276), FeeTable!$B$1:$H$2, 2, FALSE) * H276, 0)</f>
        <v>0</v>
      </c>
      <c r="M276" t="str">
        <f t="shared" si="4"/>
        <v>Standard</v>
      </c>
    </row>
    <row r="277" spans="1:13" x14ac:dyDescent="0.3">
      <c r="A277" t="s">
        <v>344</v>
      </c>
      <c r="B277">
        <v>316</v>
      </c>
      <c r="C277">
        <v>1</v>
      </c>
      <c r="D277" t="str">
        <f>IFERROR(VLOOKUP(C277, merchants!$A$2:$D$41, 2, FALSE), "Merchant not found")</f>
        <v>Merchant_001</v>
      </c>
      <c r="E277" t="str">
        <f>IFERROR(VLOOKUP(C277, merchants!$A$2:$D$41, 3, FALSE), "Merchant not found")</f>
        <v>ecommerce</v>
      </c>
      <c r="F277" t="str">
        <f>IFERROR(VLOOKUP(C277, merchants!$A$2:$D$41, 4, FALSE), "Merchant not found")</f>
        <v>South</v>
      </c>
      <c r="G277" s="1">
        <v>46045.644444444442</v>
      </c>
      <c r="H277">
        <v>149</v>
      </c>
      <c r="I277" t="s">
        <v>66</v>
      </c>
      <c r="J277" t="s">
        <v>64</v>
      </c>
      <c r="K277">
        <v>10</v>
      </c>
      <c r="L277">
        <f>IFERROR(HLOOKUP(TRIM(I277), FeeTable!$B$1:$H$2, 2, FALSE) * H277, 0)</f>
        <v>0</v>
      </c>
      <c r="M277" t="str">
        <f t="shared" si="4"/>
        <v>Standard</v>
      </c>
    </row>
    <row r="278" spans="1:13" x14ac:dyDescent="0.3">
      <c r="A278" t="s">
        <v>345</v>
      </c>
      <c r="B278">
        <v>77</v>
      </c>
      <c r="C278">
        <v>36</v>
      </c>
      <c r="D278" t="str">
        <f>IFERROR(VLOOKUP(C278, merchants!$A$2:$D$41, 2, FALSE), "Merchant not found")</f>
        <v>Merchant_036</v>
      </c>
      <c r="E278" t="str">
        <f>IFERROR(VLOOKUP(C278, merchants!$A$2:$D$41, 3, FALSE), "Merchant not found")</f>
        <v>entertainment</v>
      </c>
      <c r="F278" t="str">
        <f>IFERROR(VLOOKUP(C278, merchants!$A$2:$D$41, 4, FALSE), "Merchant not found")</f>
        <v>East</v>
      </c>
      <c r="G278" s="1">
        <v>46023.342361111114</v>
      </c>
      <c r="H278">
        <v>149</v>
      </c>
      <c r="I278" t="s">
        <v>66</v>
      </c>
      <c r="J278" t="s">
        <v>64</v>
      </c>
      <c r="K278">
        <v>93</v>
      </c>
      <c r="L278">
        <f>IFERROR(HLOOKUP(TRIM(I278), FeeTable!$B$1:$H$2, 2, FALSE) * H278, 0)</f>
        <v>0</v>
      </c>
      <c r="M278" t="str">
        <f t="shared" si="4"/>
        <v>Standard</v>
      </c>
    </row>
    <row r="279" spans="1:13" x14ac:dyDescent="0.3">
      <c r="A279" t="s">
        <v>346</v>
      </c>
      <c r="B279">
        <v>57</v>
      </c>
      <c r="C279">
        <v>19</v>
      </c>
      <c r="D279" t="str">
        <f>IFERROR(VLOOKUP(C279, merchants!$A$2:$D$41, 2, FALSE), "Merchant not found")</f>
        <v>Merchant_019</v>
      </c>
      <c r="E279" t="str">
        <f>IFERROR(VLOOKUP(C279, merchants!$A$2:$D$41, 3, FALSE), "Merchant not found")</f>
        <v>grocery</v>
      </c>
      <c r="F279" t="str">
        <f>IFERROR(VLOOKUP(C279, merchants!$A$2:$D$41, 4, FALSE), "Merchant not found")</f>
        <v>North</v>
      </c>
      <c r="G279" s="1">
        <v>46042.685416666667</v>
      </c>
      <c r="H279">
        <v>49</v>
      </c>
      <c r="I279" t="s">
        <v>66</v>
      </c>
      <c r="J279" t="s">
        <v>64</v>
      </c>
      <c r="K279">
        <v>30</v>
      </c>
      <c r="L279">
        <f>IFERROR(HLOOKUP(TRIM(I279), FeeTable!$B$1:$H$2, 2, FALSE) * H279, 0)</f>
        <v>0</v>
      </c>
      <c r="M279" t="str">
        <f t="shared" si="4"/>
        <v>Standard</v>
      </c>
    </row>
    <row r="280" spans="1:13" x14ac:dyDescent="0.3">
      <c r="A280" t="s">
        <v>347</v>
      </c>
      <c r="B280">
        <v>123</v>
      </c>
      <c r="C280">
        <v>27</v>
      </c>
      <c r="D280" t="str">
        <f>IFERROR(VLOOKUP(C280, merchants!$A$2:$D$41, 2, FALSE), "Merchant not found")</f>
        <v>Merchant_027</v>
      </c>
      <c r="E280" t="str">
        <f>IFERROR(VLOOKUP(C280, merchants!$A$2:$D$41, 3, FALSE), "Merchant not found")</f>
        <v>ecommerce</v>
      </c>
      <c r="F280" t="str">
        <f>IFERROR(VLOOKUP(C280, merchants!$A$2:$D$41, 4, FALSE), "Merchant not found")</f>
        <v>North</v>
      </c>
      <c r="G280" s="1">
        <v>46032.127083333333</v>
      </c>
      <c r="H280">
        <v>149</v>
      </c>
      <c r="I280" t="s">
        <v>69</v>
      </c>
      <c r="J280" t="s">
        <v>64</v>
      </c>
      <c r="K280">
        <v>81</v>
      </c>
      <c r="L280">
        <f>IFERROR(HLOOKUP(TRIM(I280), FeeTable!$B$1:$H$2, 2, FALSE) * H280, 0)</f>
        <v>2.2349999999999999</v>
      </c>
      <c r="M280" t="str">
        <f t="shared" si="4"/>
        <v>Standard</v>
      </c>
    </row>
    <row r="281" spans="1:13" x14ac:dyDescent="0.3">
      <c r="A281" t="s">
        <v>348</v>
      </c>
      <c r="B281">
        <v>33</v>
      </c>
      <c r="C281">
        <v>8</v>
      </c>
      <c r="D281" t="str">
        <f>IFERROR(VLOOKUP(C281, merchants!$A$2:$D$41, 2, FALSE), "Merchant not found")</f>
        <v>Merchant_008</v>
      </c>
      <c r="E281" t="str">
        <f>IFERROR(VLOOKUP(C281, merchants!$A$2:$D$41, 3, FALSE), "Merchant not found")</f>
        <v>food_delivery</v>
      </c>
      <c r="F281" t="str">
        <f>IFERROR(VLOOKUP(C281, merchants!$A$2:$D$41, 4, FALSE), "Merchant not found")</f>
        <v>North</v>
      </c>
      <c r="G281" s="1">
        <v>46048.811805555553</v>
      </c>
      <c r="H281">
        <v>299</v>
      </c>
      <c r="I281" t="s">
        <v>63</v>
      </c>
      <c r="J281" t="s">
        <v>64</v>
      </c>
      <c r="K281">
        <v>63</v>
      </c>
      <c r="L281">
        <f>IFERROR(HLOOKUP(TRIM(I281), FeeTable!$B$1:$H$2, 2, FALSE) * H281, 0)</f>
        <v>3.2889999999999997</v>
      </c>
      <c r="M281" t="str">
        <f t="shared" si="4"/>
        <v>Standard</v>
      </c>
    </row>
    <row r="282" spans="1:13" x14ac:dyDescent="0.3">
      <c r="A282" t="s">
        <v>349</v>
      </c>
      <c r="B282">
        <v>324</v>
      </c>
      <c r="C282">
        <v>33</v>
      </c>
      <c r="D282" t="str">
        <f>IFERROR(VLOOKUP(C282, merchants!$A$2:$D$41, 2, FALSE), "Merchant not found")</f>
        <v>Merchant_033</v>
      </c>
      <c r="E282" t="str">
        <f>IFERROR(VLOOKUP(C282, merchants!$A$2:$D$41, 3, FALSE), "Merchant not found")</f>
        <v>bill_payment</v>
      </c>
      <c r="F282" t="str">
        <f>IFERROR(VLOOKUP(C282, merchants!$A$2:$D$41, 4, FALSE), "Merchant not found")</f>
        <v>East</v>
      </c>
      <c r="G282" s="1">
        <v>46042.709027777775</v>
      </c>
      <c r="H282">
        <v>499</v>
      </c>
      <c r="I282" t="s">
        <v>66</v>
      </c>
      <c r="J282" t="s">
        <v>64</v>
      </c>
      <c r="K282">
        <v>73</v>
      </c>
      <c r="L282">
        <f>IFERROR(HLOOKUP(TRIM(I282), FeeTable!$B$1:$H$2, 2, FALSE) * H282, 0)</f>
        <v>0</v>
      </c>
      <c r="M282" t="str">
        <f t="shared" si="4"/>
        <v>Standard</v>
      </c>
    </row>
    <row r="283" spans="1:13" x14ac:dyDescent="0.3">
      <c r="A283" t="s">
        <v>350</v>
      </c>
      <c r="B283">
        <v>150</v>
      </c>
      <c r="C283">
        <v>28</v>
      </c>
      <c r="D283" t="str">
        <f>IFERROR(VLOOKUP(C283, merchants!$A$2:$D$41, 2, FALSE), "Merchant not found")</f>
        <v>Merchant_028</v>
      </c>
      <c r="E283" t="str">
        <f>IFERROR(VLOOKUP(C283, merchants!$A$2:$D$41, 3, FALSE), "Merchant not found")</f>
        <v>ecommerce</v>
      </c>
      <c r="F283" t="str">
        <f>IFERROR(VLOOKUP(C283, merchants!$A$2:$D$41, 4, FALSE), "Merchant not found")</f>
        <v>South</v>
      </c>
      <c r="G283" s="1">
        <v>46030.92291666667</v>
      </c>
      <c r="H283">
        <v>49</v>
      </c>
      <c r="I283" t="s">
        <v>66</v>
      </c>
      <c r="J283" t="s">
        <v>79</v>
      </c>
      <c r="K283">
        <v>0</v>
      </c>
      <c r="L283">
        <f>IFERROR(HLOOKUP(TRIM(I283), FeeTable!$B$1:$H$2, 2, FALSE) * H283, 0)</f>
        <v>0</v>
      </c>
      <c r="M283" t="str">
        <f t="shared" si="4"/>
        <v>Standard</v>
      </c>
    </row>
    <row r="284" spans="1:13" x14ac:dyDescent="0.3">
      <c r="A284" t="s">
        <v>351</v>
      </c>
      <c r="B284">
        <v>293</v>
      </c>
      <c r="C284">
        <v>27</v>
      </c>
      <c r="D284" t="str">
        <f>IFERROR(VLOOKUP(C284, merchants!$A$2:$D$41, 2, FALSE), "Merchant not found")</f>
        <v>Merchant_027</v>
      </c>
      <c r="E284" t="str">
        <f>IFERROR(VLOOKUP(C284, merchants!$A$2:$D$41, 3, FALSE), "Merchant not found")</f>
        <v>ecommerce</v>
      </c>
      <c r="F284" t="str">
        <f>IFERROR(VLOOKUP(C284, merchants!$A$2:$D$41, 4, FALSE), "Merchant not found")</f>
        <v>North</v>
      </c>
      <c r="G284" s="1">
        <v>46042.46875</v>
      </c>
      <c r="H284">
        <v>4999</v>
      </c>
      <c r="I284" t="s">
        <v>66</v>
      </c>
      <c r="J284" t="s">
        <v>64</v>
      </c>
      <c r="K284">
        <v>23</v>
      </c>
      <c r="L284">
        <f>IFERROR(HLOOKUP(TRIM(I284), FeeTable!$B$1:$H$2, 2, FALSE) * H284, 0)</f>
        <v>0</v>
      </c>
      <c r="M284" t="str">
        <f t="shared" si="4"/>
        <v>Standard</v>
      </c>
    </row>
    <row r="285" spans="1:13" x14ac:dyDescent="0.3">
      <c r="A285" t="s">
        <v>352</v>
      </c>
      <c r="B285">
        <v>269</v>
      </c>
      <c r="C285">
        <v>24</v>
      </c>
      <c r="D285" t="str">
        <f>IFERROR(VLOOKUP(C285, merchants!$A$2:$D$41, 2, FALSE), "Merchant not found")</f>
        <v>Merchant_024</v>
      </c>
      <c r="E285" t="str">
        <f>IFERROR(VLOOKUP(C285, merchants!$A$2:$D$41, 3, FALSE), "Merchant not found")</f>
        <v>grocery</v>
      </c>
      <c r="F285" t="str">
        <f>IFERROR(VLOOKUP(C285, merchants!$A$2:$D$41, 4, FALSE), "Merchant not found")</f>
        <v>North</v>
      </c>
      <c r="G285" s="1">
        <v>46044.878472222219</v>
      </c>
      <c r="H285">
        <v>49</v>
      </c>
      <c r="I285" t="s">
        <v>63</v>
      </c>
      <c r="J285" t="s">
        <v>64</v>
      </c>
      <c r="K285">
        <v>8</v>
      </c>
      <c r="L285">
        <f>IFERROR(HLOOKUP(TRIM(I285), FeeTable!$B$1:$H$2, 2, FALSE) * H285, 0)</f>
        <v>0.53899999999999992</v>
      </c>
      <c r="M285" t="str">
        <f t="shared" si="4"/>
        <v>Standard</v>
      </c>
    </row>
    <row r="286" spans="1:13" x14ac:dyDescent="0.3">
      <c r="A286" t="s">
        <v>353</v>
      </c>
      <c r="B286">
        <v>260</v>
      </c>
      <c r="C286">
        <v>36</v>
      </c>
      <c r="D286" t="str">
        <f>IFERROR(VLOOKUP(C286, merchants!$A$2:$D$41, 2, FALSE), "Merchant not found")</f>
        <v>Merchant_036</v>
      </c>
      <c r="E286" t="str">
        <f>IFERROR(VLOOKUP(C286, merchants!$A$2:$D$41, 3, FALSE), "Merchant not found")</f>
        <v>entertainment</v>
      </c>
      <c r="F286" t="str">
        <f>IFERROR(VLOOKUP(C286, merchants!$A$2:$D$41, 4, FALSE), "Merchant not found")</f>
        <v>East</v>
      </c>
      <c r="G286" s="1">
        <v>46039.730555555558</v>
      </c>
      <c r="H286">
        <v>1499</v>
      </c>
      <c r="I286" t="s">
        <v>66</v>
      </c>
      <c r="J286" t="s">
        <v>64</v>
      </c>
      <c r="K286">
        <v>2</v>
      </c>
      <c r="L286">
        <f>IFERROR(HLOOKUP(TRIM(I286), FeeTable!$B$1:$H$2, 2, FALSE) * H286, 0)</f>
        <v>0</v>
      </c>
      <c r="M286" t="str">
        <f t="shared" si="4"/>
        <v>Standard</v>
      </c>
    </row>
    <row r="287" spans="1:13" x14ac:dyDescent="0.3">
      <c r="A287" t="s">
        <v>354</v>
      </c>
      <c r="B287">
        <v>326</v>
      </c>
      <c r="C287">
        <v>25</v>
      </c>
      <c r="D287" t="str">
        <f>IFERROR(VLOOKUP(C287, merchants!$A$2:$D$41, 2, FALSE), "Merchant not found")</f>
        <v>Merchant_025</v>
      </c>
      <c r="E287" t="str">
        <f>IFERROR(VLOOKUP(C287, merchants!$A$2:$D$41, 3, FALSE), "Merchant not found")</f>
        <v>travel</v>
      </c>
      <c r="F287" t="str">
        <f>IFERROR(VLOOKUP(C287, merchants!$A$2:$D$41, 4, FALSE), "Merchant not found")</f>
        <v>South</v>
      </c>
      <c r="G287" s="1">
        <v>46035.626388888886</v>
      </c>
      <c r="H287">
        <v>49</v>
      </c>
      <c r="I287" t="s">
        <v>66</v>
      </c>
      <c r="J287" t="s">
        <v>64</v>
      </c>
      <c r="K287">
        <v>47</v>
      </c>
      <c r="L287">
        <f>IFERROR(HLOOKUP(TRIM(I287), FeeTable!$B$1:$H$2, 2, FALSE) * H287, 0)</f>
        <v>0</v>
      </c>
      <c r="M287" t="str">
        <f t="shared" si="4"/>
        <v>Standard</v>
      </c>
    </row>
    <row r="288" spans="1:13" x14ac:dyDescent="0.3">
      <c r="A288" t="s">
        <v>355</v>
      </c>
      <c r="B288">
        <v>183</v>
      </c>
      <c r="C288">
        <v>5</v>
      </c>
      <c r="D288" t="str">
        <f>IFERROR(VLOOKUP(C288, merchants!$A$2:$D$41, 2, FALSE), "Merchant not found")</f>
        <v>Merchant_005</v>
      </c>
      <c r="E288" t="str">
        <f>IFERROR(VLOOKUP(C288, merchants!$A$2:$D$41, 3, FALSE), "Merchant not found")</f>
        <v>recharge</v>
      </c>
      <c r="F288" t="str">
        <f>IFERROR(VLOOKUP(C288, merchants!$A$2:$D$41, 4, FALSE), "Merchant not found")</f>
        <v>South</v>
      </c>
      <c r="G288" s="1">
        <v>46031.959027777775</v>
      </c>
      <c r="H288">
        <v>49</v>
      </c>
      <c r="I288" t="s">
        <v>78</v>
      </c>
      <c r="J288" t="s">
        <v>64</v>
      </c>
      <c r="K288">
        <v>44</v>
      </c>
      <c r="L288">
        <f>IFERROR(HLOOKUP(TRIM(I288), FeeTable!$B$1:$H$2, 2, FALSE) * H288, 0)</f>
        <v>0.8819999999999999</v>
      </c>
      <c r="M288" t="str">
        <f t="shared" si="4"/>
        <v>Standard</v>
      </c>
    </row>
    <row r="289" spans="1:13" x14ac:dyDescent="0.3">
      <c r="A289" t="s">
        <v>356</v>
      </c>
      <c r="B289">
        <v>322</v>
      </c>
      <c r="C289">
        <v>7</v>
      </c>
      <c r="D289" t="str">
        <f>IFERROR(VLOOKUP(C289, merchants!$A$2:$D$41, 2, FALSE), "Merchant not found")</f>
        <v>Merchant_007</v>
      </c>
      <c r="E289" t="str">
        <f>IFERROR(VLOOKUP(C289, merchants!$A$2:$D$41, 3, FALSE), "Merchant not found")</f>
        <v>food_delivery</v>
      </c>
      <c r="F289" t="str">
        <f>IFERROR(VLOOKUP(C289, merchants!$A$2:$D$41, 4, FALSE), "Merchant not found")</f>
        <v>East</v>
      </c>
      <c r="G289" s="1">
        <v>46030.987500000003</v>
      </c>
      <c r="H289">
        <v>299</v>
      </c>
      <c r="I289" t="s">
        <v>66</v>
      </c>
      <c r="J289" t="s">
        <v>64</v>
      </c>
      <c r="K289">
        <v>98</v>
      </c>
      <c r="L289">
        <f>IFERROR(HLOOKUP(TRIM(I289), FeeTable!$B$1:$H$2, 2, FALSE) * H289, 0)</f>
        <v>0</v>
      </c>
      <c r="M289" t="str">
        <f t="shared" si="4"/>
        <v>Standard</v>
      </c>
    </row>
    <row r="290" spans="1:13" x14ac:dyDescent="0.3">
      <c r="A290" t="s">
        <v>357</v>
      </c>
      <c r="B290">
        <v>171</v>
      </c>
      <c r="C290">
        <v>9</v>
      </c>
      <c r="D290" t="str">
        <f>IFERROR(VLOOKUP(C290, merchants!$A$2:$D$41, 2, FALSE), "Merchant not found")</f>
        <v>Merchant_009</v>
      </c>
      <c r="E290" t="str">
        <f>IFERROR(VLOOKUP(C290, merchants!$A$2:$D$41, 3, FALSE), "Merchant not found")</f>
        <v>ecommerce</v>
      </c>
      <c r="F290" t="str">
        <f>IFERROR(VLOOKUP(C290, merchants!$A$2:$D$41, 4, FALSE), "Merchant not found")</f>
        <v>North</v>
      </c>
      <c r="G290" s="1">
        <v>46041.991666666669</v>
      </c>
      <c r="H290">
        <v>299</v>
      </c>
      <c r="I290" t="s">
        <v>66</v>
      </c>
      <c r="J290" t="s">
        <v>64</v>
      </c>
      <c r="K290">
        <v>5</v>
      </c>
      <c r="L290">
        <f>IFERROR(HLOOKUP(TRIM(I290), FeeTable!$B$1:$H$2, 2, FALSE) * H290, 0)</f>
        <v>0</v>
      </c>
      <c r="M290" t="str">
        <f t="shared" si="4"/>
        <v>Standard</v>
      </c>
    </row>
    <row r="291" spans="1:13" x14ac:dyDescent="0.3">
      <c r="A291" t="s">
        <v>358</v>
      </c>
      <c r="B291">
        <v>330</v>
      </c>
      <c r="C291">
        <v>12</v>
      </c>
      <c r="D291" t="str">
        <f>IFERROR(VLOOKUP(C291, merchants!$A$2:$D$41, 2, FALSE), "Merchant not found")</f>
        <v>Merchant_012</v>
      </c>
      <c r="E291" t="str">
        <f>IFERROR(VLOOKUP(C291, merchants!$A$2:$D$41, 3, FALSE), "Merchant not found")</f>
        <v>ecommerce</v>
      </c>
      <c r="F291" t="str">
        <f>IFERROR(VLOOKUP(C291, merchants!$A$2:$D$41, 4, FALSE), "Merchant not found")</f>
        <v>East</v>
      </c>
      <c r="G291" s="1">
        <v>46034.722916666666</v>
      </c>
      <c r="H291">
        <v>1499</v>
      </c>
      <c r="I291" t="s">
        <v>69</v>
      </c>
      <c r="J291" t="s">
        <v>64</v>
      </c>
      <c r="K291">
        <v>99</v>
      </c>
      <c r="L291">
        <f>IFERROR(HLOOKUP(TRIM(I291), FeeTable!$B$1:$H$2, 2, FALSE) * H291, 0)</f>
        <v>22.484999999999999</v>
      </c>
      <c r="M291" t="str">
        <f t="shared" si="4"/>
        <v>Standard</v>
      </c>
    </row>
    <row r="292" spans="1:13" x14ac:dyDescent="0.3">
      <c r="A292" t="s">
        <v>359</v>
      </c>
      <c r="B292">
        <v>246</v>
      </c>
      <c r="C292">
        <v>12</v>
      </c>
      <c r="D292" t="str">
        <f>IFERROR(VLOOKUP(C292, merchants!$A$2:$D$41, 2, FALSE), "Merchant not found")</f>
        <v>Merchant_012</v>
      </c>
      <c r="E292" t="str">
        <f>IFERROR(VLOOKUP(C292, merchants!$A$2:$D$41, 3, FALSE), "Merchant not found")</f>
        <v>ecommerce</v>
      </c>
      <c r="F292" t="str">
        <f>IFERROR(VLOOKUP(C292, merchants!$A$2:$D$41, 4, FALSE), "Merchant not found")</f>
        <v>East</v>
      </c>
      <c r="G292" s="1">
        <v>46044.613888888889</v>
      </c>
      <c r="H292">
        <v>99</v>
      </c>
      <c r="I292" t="s">
        <v>63</v>
      </c>
      <c r="J292" t="s">
        <v>64</v>
      </c>
      <c r="K292">
        <v>17</v>
      </c>
      <c r="L292">
        <f>IFERROR(HLOOKUP(TRIM(I292), FeeTable!$B$1:$H$2, 2, FALSE) * H292, 0)</f>
        <v>1.089</v>
      </c>
      <c r="M292" t="str">
        <f t="shared" si="4"/>
        <v>Standard</v>
      </c>
    </row>
    <row r="293" spans="1:13" x14ac:dyDescent="0.3">
      <c r="A293" t="s">
        <v>360</v>
      </c>
      <c r="B293">
        <v>235</v>
      </c>
      <c r="C293">
        <v>3</v>
      </c>
      <c r="D293" t="str">
        <f>IFERROR(VLOOKUP(C293, merchants!$A$2:$D$41, 2, FALSE), "Merchant not found")</f>
        <v>Merchant_003</v>
      </c>
      <c r="E293" t="str">
        <f>IFERROR(VLOOKUP(C293, merchants!$A$2:$D$41, 3, FALSE), "Merchant not found")</f>
        <v>grocery</v>
      </c>
      <c r="F293" t="str">
        <f>IFERROR(VLOOKUP(C293, merchants!$A$2:$D$41, 4, FALSE), "Merchant not found")</f>
        <v>East</v>
      </c>
      <c r="G293" s="1">
        <v>46025.950694444444</v>
      </c>
      <c r="H293">
        <v>49</v>
      </c>
      <c r="I293" t="s">
        <v>66</v>
      </c>
      <c r="J293" t="s">
        <v>64</v>
      </c>
      <c r="K293">
        <v>37</v>
      </c>
      <c r="L293">
        <f>IFERROR(HLOOKUP(TRIM(I293), FeeTable!$B$1:$H$2, 2, FALSE) * H293, 0)</f>
        <v>0</v>
      </c>
      <c r="M293" t="str">
        <f t="shared" si="4"/>
        <v>Standard</v>
      </c>
    </row>
    <row r="294" spans="1:13" x14ac:dyDescent="0.3">
      <c r="A294" t="s">
        <v>361</v>
      </c>
      <c r="B294">
        <v>103</v>
      </c>
      <c r="C294">
        <v>3</v>
      </c>
      <c r="D294" t="str">
        <f>IFERROR(VLOOKUP(C294, merchants!$A$2:$D$41, 2, FALSE), "Merchant not found")</f>
        <v>Merchant_003</v>
      </c>
      <c r="E294" t="str">
        <f>IFERROR(VLOOKUP(C294, merchants!$A$2:$D$41, 3, FALSE), "Merchant not found")</f>
        <v>grocery</v>
      </c>
      <c r="F294" t="str">
        <f>IFERROR(VLOOKUP(C294, merchants!$A$2:$D$41, 4, FALSE), "Merchant not found")</f>
        <v>East</v>
      </c>
      <c r="G294" s="1">
        <v>46029.076388888891</v>
      </c>
      <c r="H294">
        <v>499</v>
      </c>
      <c r="I294" t="s">
        <v>66</v>
      </c>
      <c r="J294" t="s">
        <v>64</v>
      </c>
      <c r="K294">
        <v>40</v>
      </c>
      <c r="L294">
        <f>IFERROR(HLOOKUP(TRIM(I294), FeeTable!$B$1:$H$2, 2, FALSE) * H294, 0)</f>
        <v>0</v>
      </c>
      <c r="M294" t="str">
        <f t="shared" si="4"/>
        <v>Standard</v>
      </c>
    </row>
    <row r="295" spans="1:13" x14ac:dyDescent="0.3">
      <c r="A295" t="s">
        <v>362</v>
      </c>
      <c r="B295">
        <v>204</v>
      </c>
      <c r="C295">
        <v>35</v>
      </c>
      <c r="D295" t="str">
        <f>IFERROR(VLOOKUP(C295, merchants!$A$2:$D$41, 2, FALSE), "Merchant not found")</f>
        <v>Merchant_035</v>
      </c>
      <c r="E295" t="str">
        <f>IFERROR(VLOOKUP(C295, merchants!$A$2:$D$41, 3, FALSE), "Merchant not found")</f>
        <v>recharge</v>
      </c>
      <c r="F295" t="str">
        <f>IFERROR(VLOOKUP(C295, merchants!$A$2:$D$41, 4, FALSE), "Merchant not found")</f>
        <v>East</v>
      </c>
      <c r="G295" s="1">
        <v>46052.397222222222</v>
      </c>
      <c r="H295">
        <v>99</v>
      </c>
      <c r="I295" t="s">
        <v>63</v>
      </c>
      <c r="J295" t="s">
        <v>64</v>
      </c>
      <c r="K295">
        <v>60</v>
      </c>
      <c r="L295">
        <f>IFERROR(HLOOKUP(TRIM(I295), FeeTable!$B$1:$H$2, 2, FALSE) * H295, 0)</f>
        <v>1.089</v>
      </c>
      <c r="M295" t="str">
        <f t="shared" si="4"/>
        <v>Standard</v>
      </c>
    </row>
    <row r="296" spans="1:13" x14ac:dyDescent="0.3">
      <c r="A296" t="s">
        <v>363</v>
      </c>
      <c r="B296">
        <v>332</v>
      </c>
      <c r="C296">
        <v>13</v>
      </c>
      <c r="D296" t="str">
        <f>IFERROR(VLOOKUP(C296, merchants!$A$2:$D$41, 2, FALSE), "Merchant not found")</f>
        <v>Merchant_013</v>
      </c>
      <c r="E296" t="str">
        <f>IFERROR(VLOOKUP(C296, merchants!$A$2:$D$41, 3, FALSE), "Merchant not found")</f>
        <v>travel</v>
      </c>
      <c r="F296" t="str">
        <f>IFERROR(VLOOKUP(C296, merchants!$A$2:$D$41, 4, FALSE), "Merchant not found")</f>
        <v>East</v>
      </c>
      <c r="G296" s="1">
        <v>46031.074999999997</v>
      </c>
      <c r="H296">
        <v>49</v>
      </c>
      <c r="I296" t="s">
        <v>78</v>
      </c>
      <c r="J296" t="s">
        <v>64</v>
      </c>
      <c r="K296">
        <v>36</v>
      </c>
      <c r="L296">
        <f>IFERROR(HLOOKUP(TRIM(I296), FeeTable!$B$1:$H$2, 2, FALSE) * H296, 0)</f>
        <v>0.8819999999999999</v>
      </c>
      <c r="M296" t="str">
        <f t="shared" si="4"/>
        <v>Standard</v>
      </c>
    </row>
    <row r="297" spans="1:13" x14ac:dyDescent="0.3">
      <c r="A297" t="s">
        <v>364</v>
      </c>
      <c r="B297">
        <v>336</v>
      </c>
      <c r="C297">
        <v>22</v>
      </c>
      <c r="D297" t="str">
        <f>IFERROR(VLOOKUP(C297, merchants!$A$2:$D$41, 2, FALSE), "Merchant not found")</f>
        <v>Merchant_022</v>
      </c>
      <c r="E297" t="str">
        <f>IFERROR(VLOOKUP(C297, merchants!$A$2:$D$41, 3, FALSE), "Merchant not found")</f>
        <v>travel</v>
      </c>
      <c r="F297" t="str">
        <f>IFERROR(VLOOKUP(C297, merchants!$A$2:$D$41, 4, FALSE), "Merchant not found")</f>
        <v>South</v>
      </c>
      <c r="G297" s="1">
        <v>46034.079861111109</v>
      </c>
      <c r="H297">
        <v>499</v>
      </c>
      <c r="I297" t="s">
        <v>66</v>
      </c>
      <c r="J297" t="s">
        <v>64</v>
      </c>
      <c r="K297">
        <v>34</v>
      </c>
      <c r="L297">
        <f>IFERROR(HLOOKUP(TRIM(I297), FeeTable!$B$1:$H$2, 2, FALSE) * H297, 0)</f>
        <v>0</v>
      </c>
      <c r="M297" t="str">
        <f t="shared" si="4"/>
        <v>Standard</v>
      </c>
    </row>
    <row r="298" spans="1:13" x14ac:dyDescent="0.3">
      <c r="A298" t="s">
        <v>365</v>
      </c>
      <c r="B298">
        <v>205</v>
      </c>
      <c r="C298">
        <v>29</v>
      </c>
      <c r="D298" t="str">
        <f>IFERROR(VLOOKUP(C298, merchants!$A$2:$D$41, 2, FALSE), "Merchant not found")</f>
        <v>Merchant_029</v>
      </c>
      <c r="E298" t="str">
        <f>IFERROR(VLOOKUP(C298, merchants!$A$2:$D$41, 3, FALSE), "Merchant not found")</f>
        <v>ecommerce</v>
      </c>
      <c r="F298" t="str">
        <f>IFERROR(VLOOKUP(C298, merchants!$A$2:$D$41, 4, FALSE), "Merchant not found")</f>
        <v>North</v>
      </c>
      <c r="G298" s="1">
        <v>46026.477083333331</v>
      </c>
      <c r="H298">
        <v>99</v>
      </c>
      <c r="I298" t="s">
        <v>63</v>
      </c>
      <c r="J298" t="s">
        <v>64</v>
      </c>
      <c r="K298">
        <v>49</v>
      </c>
      <c r="L298">
        <f>IFERROR(HLOOKUP(TRIM(I298), FeeTable!$B$1:$H$2, 2, FALSE) * H298, 0)</f>
        <v>1.089</v>
      </c>
      <c r="M298" t="str">
        <f t="shared" si="4"/>
        <v>Standard</v>
      </c>
    </row>
    <row r="299" spans="1:13" x14ac:dyDescent="0.3">
      <c r="A299" t="s">
        <v>366</v>
      </c>
      <c r="B299">
        <v>255</v>
      </c>
      <c r="C299">
        <v>24</v>
      </c>
      <c r="D299" t="str">
        <f>IFERROR(VLOOKUP(C299, merchants!$A$2:$D$41, 2, FALSE), "Merchant not found")</f>
        <v>Merchant_024</v>
      </c>
      <c r="E299" t="str">
        <f>IFERROR(VLOOKUP(C299, merchants!$A$2:$D$41, 3, FALSE), "Merchant not found")</f>
        <v>grocery</v>
      </c>
      <c r="F299" t="str">
        <f>IFERROR(VLOOKUP(C299, merchants!$A$2:$D$41, 4, FALSE), "Merchant not found")</f>
        <v>North</v>
      </c>
      <c r="G299" s="1">
        <v>46033.229861111111</v>
      </c>
      <c r="H299">
        <v>799</v>
      </c>
      <c r="I299" t="s">
        <v>66</v>
      </c>
      <c r="J299" t="s">
        <v>64</v>
      </c>
      <c r="K299">
        <v>66</v>
      </c>
      <c r="L299">
        <f>IFERROR(HLOOKUP(TRIM(I299), FeeTable!$B$1:$H$2, 2, FALSE) * H299, 0)</f>
        <v>0</v>
      </c>
      <c r="M299" t="str">
        <f t="shared" si="4"/>
        <v>Standard</v>
      </c>
    </row>
    <row r="300" spans="1:13" x14ac:dyDescent="0.3">
      <c r="A300" t="s">
        <v>367</v>
      </c>
      <c r="B300">
        <v>218</v>
      </c>
      <c r="C300">
        <v>6</v>
      </c>
      <c r="D300" t="str">
        <f>IFERROR(VLOOKUP(C300, merchants!$A$2:$D$41, 2, FALSE), "Merchant not found")</f>
        <v>Merchant_006</v>
      </c>
      <c r="E300" t="str">
        <f>IFERROR(VLOOKUP(C300, merchants!$A$2:$D$41, 3, FALSE), "Merchant not found")</f>
        <v>food_delivery</v>
      </c>
      <c r="F300" t="str">
        <f>IFERROR(VLOOKUP(C300, merchants!$A$2:$D$41, 4, FALSE), "Merchant not found")</f>
        <v>South</v>
      </c>
      <c r="G300" s="1">
        <v>46031.115277777775</v>
      </c>
      <c r="H300">
        <v>99</v>
      </c>
      <c r="I300" t="s">
        <v>66</v>
      </c>
      <c r="J300" t="s">
        <v>64</v>
      </c>
      <c r="K300">
        <v>55</v>
      </c>
      <c r="L300">
        <f>IFERROR(HLOOKUP(TRIM(I300), FeeTable!$B$1:$H$2, 2, FALSE) * H300, 0)</f>
        <v>0</v>
      </c>
      <c r="M300" t="str">
        <f t="shared" si="4"/>
        <v>Standard</v>
      </c>
    </row>
    <row r="301" spans="1:13" x14ac:dyDescent="0.3">
      <c r="A301" t="s">
        <v>368</v>
      </c>
      <c r="B301">
        <v>151</v>
      </c>
      <c r="C301">
        <v>21</v>
      </c>
      <c r="D301" t="str">
        <f>IFERROR(VLOOKUP(C301, merchants!$A$2:$D$41, 2, FALSE), "Merchant not found")</f>
        <v>Merchant_021</v>
      </c>
      <c r="E301" t="str">
        <f>IFERROR(VLOOKUP(C301, merchants!$A$2:$D$41, 3, FALSE), "Merchant not found")</f>
        <v>food_delivery</v>
      </c>
      <c r="F301" t="str">
        <f>IFERROR(VLOOKUP(C301, merchants!$A$2:$D$41, 4, FALSE), "Merchant not found")</f>
        <v>East</v>
      </c>
      <c r="G301" s="1">
        <v>46042.231944444444</v>
      </c>
      <c r="H301">
        <v>49</v>
      </c>
      <c r="I301" t="s">
        <v>66</v>
      </c>
      <c r="J301" t="s">
        <v>64</v>
      </c>
      <c r="K301">
        <v>13</v>
      </c>
      <c r="L301">
        <f>IFERROR(HLOOKUP(TRIM(I301), FeeTable!$B$1:$H$2, 2, FALSE) * H301, 0)</f>
        <v>0</v>
      </c>
      <c r="M301" t="str">
        <f t="shared" si="4"/>
        <v>Standard</v>
      </c>
    </row>
    <row r="302" spans="1:13" x14ac:dyDescent="0.3">
      <c r="A302" t="s">
        <v>369</v>
      </c>
      <c r="B302">
        <v>152</v>
      </c>
      <c r="C302">
        <v>20</v>
      </c>
      <c r="D302" t="str">
        <f>IFERROR(VLOOKUP(C302, merchants!$A$2:$D$41, 2, FALSE), "Merchant not found")</f>
        <v>Merchant_020</v>
      </c>
      <c r="E302" t="str">
        <f>IFERROR(VLOOKUP(C302, merchants!$A$2:$D$41, 3, FALSE), "Merchant not found")</f>
        <v>food_delivery</v>
      </c>
      <c r="F302" t="str">
        <f>IFERROR(VLOOKUP(C302, merchants!$A$2:$D$41, 4, FALSE), "Merchant not found")</f>
        <v>East</v>
      </c>
      <c r="G302" s="1">
        <v>46025.445833333331</v>
      </c>
      <c r="H302">
        <v>49</v>
      </c>
      <c r="I302" t="s">
        <v>66</v>
      </c>
      <c r="J302" t="s">
        <v>64</v>
      </c>
      <c r="K302">
        <v>57</v>
      </c>
      <c r="L302">
        <f>IFERROR(HLOOKUP(TRIM(I302), FeeTable!$B$1:$H$2, 2, FALSE) * H302, 0)</f>
        <v>0</v>
      </c>
      <c r="M302" t="str">
        <f t="shared" si="4"/>
        <v>Standard</v>
      </c>
    </row>
    <row r="303" spans="1:13" x14ac:dyDescent="0.3">
      <c r="A303" t="s">
        <v>370</v>
      </c>
      <c r="B303">
        <v>86</v>
      </c>
      <c r="C303">
        <v>29</v>
      </c>
      <c r="D303" t="str">
        <f>IFERROR(VLOOKUP(C303, merchants!$A$2:$D$41, 2, FALSE), "Merchant not found")</f>
        <v>Merchant_029</v>
      </c>
      <c r="E303" t="str">
        <f>IFERROR(VLOOKUP(C303, merchants!$A$2:$D$41, 3, FALSE), "Merchant not found")</f>
        <v>ecommerce</v>
      </c>
      <c r="F303" t="str">
        <f>IFERROR(VLOOKUP(C303, merchants!$A$2:$D$41, 4, FALSE), "Merchant not found")</f>
        <v>North</v>
      </c>
      <c r="G303" s="1">
        <v>46042.935416666667</v>
      </c>
      <c r="H303">
        <v>149</v>
      </c>
      <c r="I303" t="s">
        <v>78</v>
      </c>
      <c r="J303" t="s">
        <v>64</v>
      </c>
      <c r="K303">
        <v>44</v>
      </c>
      <c r="L303">
        <f>IFERROR(HLOOKUP(TRIM(I303), FeeTable!$B$1:$H$2, 2, FALSE) * H303, 0)</f>
        <v>2.6819999999999999</v>
      </c>
      <c r="M303" t="str">
        <f t="shared" si="4"/>
        <v>Standard</v>
      </c>
    </row>
    <row r="304" spans="1:13" x14ac:dyDescent="0.3">
      <c r="A304" t="s">
        <v>371</v>
      </c>
      <c r="B304">
        <v>181</v>
      </c>
      <c r="C304">
        <v>40</v>
      </c>
      <c r="D304" t="str">
        <f>IFERROR(VLOOKUP(C304, merchants!$A$2:$D$41, 2, FALSE), "Merchant not found")</f>
        <v>Merchant_040</v>
      </c>
      <c r="E304" t="str">
        <f>IFERROR(VLOOKUP(C304, merchants!$A$2:$D$41, 3, FALSE), "Merchant not found")</f>
        <v>entertainment</v>
      </c>
      <c r="F304" t="str">
        <f>IFERROR(VLOOKUP(C304, merchants!$A$2:$D$41, 4, FALSE), "Merchant not found")</f>
        <v>South</v>
      </c>
      <c r="G304" s="1">
        <v>46037.073611111111</v>
      </c>
      <c r="H304">
        <v>149</v>
      </c>
      <c r="I304" t="s">
        <v>66</v>
      </c>
      <c r="J304" t="s">
        <v>64</v>
      </c>
      <c r="K304">
        <v>55</v>
      </c>
      <c r="L304">
        <f>IFERROR(HLOOKUP(TRIM(I304), FeeTable!$B$1:$H$2, 2, FALSE) * H304, 0)</f>
        <v>0</v>
      </c>
      <c r="M304" t="str">
        <f t="shared" si="4"/>
        <v>Standard</v>
      </c>
    </row>
    <row r="305" spans="1:13" x14ac:dyDescent="0.3">
      <c r="A305" t="s">
        <v>372</v>
      </c>
      <c r="B305">
        <v>30</v>
      </c>
      <c r="C305">
        <v>5</v>
      </c>
      <c r="D305" t="str">
        <f>IFERROR(VLOOKUP(C305, merchants!$A$2:$D$41, 2, FALSE), "Merchant not found")</f>
        <v>Merchant_005</v>
      </c>
      <c r="E305" t="str">
        <f>IFERROR(VLOOKUP(C305, merchants!$A$2:$D$41, 3, FALSE), "Merchant not found")</f>
        <v>recharge</v>
      </c>
      <c r="F305" t="str">
        <f>IFERROR(VLOOKUP(C305, merchants!$A$2:$D$41, 4, FALSE), "Merchant not found")</f>
        <v>South</v>
      </c>
      <c r="G305" s="1">
        <v>46031.868055555555</v>
      </c>
      <c r="H305">
        <v>299</v>
      </c>
      <c r="I305" t="s">
        <v>66</v>
      </c>
      <c r="J305" t="s">
        <v>64</v>
      </c>
      <c r="K305">
        <v>85</v>
      </c>
      <c r="L305">
        <f>IFERROR(HLOOKUP(TRIM(I305), FeeTable!$B$1:$H$2, 2, FALSE) * H305, 0)</f>
        <v>0</v>
      </c>
      <c r="M305" t="str">
        <f t="shared" si="4"/>
        <v>Standard</v>
      </c>
    </row>
    <row r="306" spans="1:13" x14ac:dyDescent="0.3">
      <c r="A306" t="s">
        <v>373</v>
      </c>
      <c r="B306">
        <v>263</v>
      </c>
      <c r="C306">
        <v>11</v>
      </c>
      <c r="D306" t="str">
        <f>IFERROR(VLOOKUP(C306, merchants!$A$2:$D$41, 2, FALSE), "Merchant not found")</f>
        <v>Merchant_011</v>
      </c>
      <c r="E306" t="str">
        <f>IFERROR(VLOOKUP(C306, merchants!$A$2:$D$41, 3, FALSE), "Merchant not found")</f>
        <v>ecommerce</v>
      </c>
      <c r="F306" t="str">
        <f>IFERROR(VLOOKUP(C306, merchants!$A$2:$D$41, 4, FALSE), "Merchant not found")</f>
        <v>North</v>
      </c>
      <c r="G306" s="1">
        <v>46043.515972222223</v>
      </c>
      <c r="H306">
        <v>149</v>
      </c>
      <c r="I306" t="s">
        <v>63</v>
      </c>
      <c r="J306" t="s">
        <v>64</v>
      </c>
      <c r="K306">
        <v>3</v>
      </c>
      <c r="L306">
        <f>IFERROR(HLOOKUP(TRIM(I306), FeeTable!$B$1:$H$2, 2, FALSE) * H306, 0)</f>
        <v>1.639</v>
      </c>
      <c r="M306" t="str">
        <f t="shared" si="4"/>
        <v>Standard</v>
      </c>
    </row>
    <row r="307" spans="1:13" x14ac:dyDescent="0.3">
      <c r="A307" t="s">
        <v>374</v>
      </c>
      <c r="B307">
        <v>225</v>
      </c>
      <c r="C307">
        <v>3</v>
      </c>
      <c r="D307" t="str">
        <f>IFERROR(VLOOKUP(C307, merchants!$A$2:$D$41, 2, FALSE), "Merchant not found")</f>
        <v>Merchant_003</v>
      </c>
      <c r="E307" t="str">
        <f>IFERROR(VLOOKUP(C307, merchants!$A$2:$D$41, 3, FALSE), "Merchant not found")</f>
        <v>grocery</v>
      </c>
      <c r="F307" t="str">
        <f>IFERROR(VLOOKUP(C307, merchants!$A$2:$D$41, 4, FALSE), "Merchant not found")</f>
        <v>East</v>
      </c>
      <c r="G307" s="1">
        <v>46027.821527777778</v>
      </c>
      <c r="H307">
        <v>99</v>
      </c>
      <c r="I307" t="s">
        <v>69</v>
      </c>
      <c r="J307" t="s">
        <v>64</v>
      </c>
      <c r="K307">
        <v>16</v>
      </c>
      <c r="L307">
        <f>IFERROR(HLOOKUP(TRIM(I307), FeeTable!$B$1:$H$2, 2, FALSE) * H307, 0)</f>
        <v>1.4849999999999999</v>
      </c>
      <c r="M307" t="str">
        <f t="shared" si="4"/>
        <v>Standard</v>
      </c>
    </row>
    <row r="308" spans="1:13" x14ac:dyDescent="0.3">
      <c r="A308" t="s">
        <v>375</v>
      </c>
      <c r="B308">
        <v>331</v>
      </c>
      <c r="C308">
        <v>24</v>
      </c>
      <c r="D308" t="str">
        <f>IFERROR(VLOOKUP(C308, merchants!$A$2:$D$41, 2, FALSE), "Merchant not found")</f>
        <v>Merchant_024</v>
      </c>
      <c r="E308" t="str">
        <f>IFERROR(VLOOKUP(C308, merchants!$A$2:$D$41, 3, FALSE), "Merchant not found")</f>
        <v>grocery</v>
      </c>
      <c r="F308" t="str">
        <f>IFERROR(VLOOKUP(C308, merchants!$A$2:$D$41, 4, FALSE), "Merchant not found")</f>
        <v>North</v>
      </c>
      <c r="G308" s="1">
        <v>46025.325694444444</v>
      </c>
      <c r="H308">
        <v>49</v>
      </c>
      <c r="I308" t="s">
        <v>78</v>
      </c>
      <c r="J308" t="s">
        <v>64</v>
      </c>
      <c r="K308">
        <v>46</v>
      </c>
      <c r="L308">
        <f>IFERROR(HLOOKUP(TRIM(I308), FeeTable!$B$1:$H$2, 2, FALSE) * H308, 0)</f>
        <v>0.8819999999999999</v>
      </c>
      <c r="M308" t="str">
        <f t="shared" si="4"/>
        <v>Standard</v>
      </c>
    </row>
    <row r="309" spans="1:13" x14ac:dyDescent="0.3">
      <c r="A309" t="s">
        <v>376</v>
      </c>
      <c r="B309">
        <v>310</v>
      </c>
      <c r="C309">
        <v>10</v>
      </c>
      <c r="D309" t="str">
        <f>IFERROR(VLOOKUP(C309, merchants!$A$2:$D$41, 2, FALSE), "Merchant not found")</f>
        <v>Merchant_010</v>
      </c>
      <c r="E309" t="str">
        <f>IFERROR(VLOOKUP(C309, merchants!$A$2:$D$41, 3, FALSE), "Merchant not found")</f>
        <v>grocery</v>
      </c>
      <c r="F309" t="str">
        <f>IFERROR(VLOOKUP(C309, merchants!$A$2:$D$41, 4, FALSE), "Merchant not found")</f>
        <v>West</v>
      </c>
      <c r="G309" s="1">
        <v>46035.751388888886</v>
      </c>
      <c r="H309">
        <v>1499</v>
      </c>
      <c r="I309" t="s">
        <v>78</v>
      </c>
      <c r="J309" t="s">
        <v>64</v>
      </c>
      <c r="K309">
        <v>86</v>
      </c>
      <c r="L309">
        <f>IFERROR(HLOOKUP(TRIM(I309), FeeTable!$B$1:$H$2, 2, FALSE) * H309, 0)</f>
        <v>26.981999999999999</v>
      </c>
      <c r="M309" t="str">
        <f t="shared" si="4"/>
        <v>Standard</v>
      </c>
    </row>
    <row r="310" spans="1:13" x14ac:dyDescent="0.3">
      <c r="A310" t="s">
        <v>377</v>
      </c>
      <c r="B310">
        <v>228</v>
      </c>
      <c r="C310">
        <v>5</v>
      </c>
      <c r="D310" t="str">
        <f>IFERROR(VLOOKUP(C310, merchants!$A$2:$D$41, 2, FALSE), "Merchant not found")</f>
        <v>Merchant_005</v>
      </c>
      <c r="E310" t="str">
        <f>IFERROR(VLOOKUP(C310, merchants!$A$2:$D$41, 3, FALSE), "Merchant not found")</f>
        <v>recharge</v>
      </c>
      <c r="F310" t="str">
        <f>IFERROR(VLOOKUP(C310, merchants!$A$2:$D$41, 4, FALSE), "Merchant not found")</f>
        <v>South</v>
      </c>
      <c r="G310" s="1">
        <v>46037.474305555559</v>
      </c>
      <c r="H310">
        <v>49</v>
      </c>
      <c r="I310" t="s">
        <v>66</v>
      </c>
      <c r="J310" t="s">
        <v>64</v>
      </c>
      <c r="K310">
        <v>73</v>
      </c>
      <c r="L310">
        <f>IFERROR(HLOOKUP(TRIM(I310), FeeTable!$B$1:$H$2, 2, FALSE) * H310, 0)</f>
        <v>0</v>
      </c>
      <c r="M310" t="str">
        <f t="shared" si="4"/>
        <v>Standard</v>
      </c>
    </row>
    <row r="311" spans="1:13" x14ac:dyDescent="0.3">
      <c r="A311" t="s">
        <v>378</v>
      </c>
      <c r="B311">
        <v>204</v>
      </c>
      <c r="C311">
        <v>21</v>
      </c>
      <c r="D311" t="str">
        <f>IFERROR(VLOOKUP(C311, merchants!$A$2:$D$41, 2, FALSE), "Merchant not found")</f>
        <v>Merchant_021</v>
      </c>
      <c r="E311" t="str">
        <f>IFERROR(VLOOKUP(C311, merchants!$A$2:$D$41, 3, FALSE), "Merchant not found")</f>
        <v>food_delivery</v>
      </c>
      <c r="F311" t="str">
        <f>IFERROR(VLOOKUP(C311, merchants!$A$2:$D$41, 4, FALSE), "Merchant not found")</f>
        <v>East</v>
      </c>
      <c r="G311" s="1">
        <v>46027.682638888888</v>
      </c>
      <c r="H311">
        <v>499</v>
      </c>
      <c r="I311" t="s">
        <v>66</v>
      </c>
      <c r="J311" t="s">
        <v>64</v>
      </c>
      <c r="K311">
        <v>83</v>
      </c>
      <c r="L311">
        <f>IFERROR(HLOOKUP(TRIM(I311), FeeTable!$B$1:$H$2, 2, FALSE) * H311, 0)</f>
        <v>0</v>
      </c>
      <c r="M311" t="str">
        <f t="shared" si="4"/>
        <v>Standard</v>
      </c>
    </row>
    <row r="312" spans="1:13" x14ac:dyDescent="0.3">
      <c r="A312" t="s">
        <v>379</v>
      </c>
      <c r="B312">
        <v>14</v>
      </c>
      <c r="C312">
        <v>12</v>
      </c>
      <c r="D312" t="str">
        <f>IFERROR(VLOOKUP(C312, merchants!$A$2:$D$41, 2, FALSE), "Merchant not found")</f>
        <v>Merchant_012</v>
      </c>
      <c r="E312" t="str">
        <f>IFERROR(VLOOKUP(C312, merchants!$A$2:$D$41, 3, FALSE), "Merchant not found")</f>
        <v>ecommerce</v>
      </c>
      <c r="F312" t="str">
        <f>IFERROR(VLOOKUP(C312, merchants!$A$2:$D$41, 4, FALSE), "Merchant not found")</f>
        <v>East</v>
      </c>
      <c r="G312" s="1">
        <v>46031.296527777777</v>
      </c>
      <c r="H312">
        <v>799</v>
      </c>
      <c r="I312" t="s">
        <v>69</v>
      </c>
      <c r="J312" t="s">
        <v>64</v>
      </c>
      <c r="K312">
        <v>63</v>
      </c>
      <c r="L312">
        <f>IFERROR(HLOOKUP(TRIM(I312), FeeTable!$B$1:$H$2, 2, FALSE) * H312, 0)</f>
        <v>11.984999999999999</v>
      </c>
      <c r="M312" t="str">
        <f t="shared" si="4"/>
        <v>Standard</v>
      </c>
    </row>
    <row r="313" spans="1:13" x14ac:dyDescent="0.3">
      <c r="A313" t="s">
        <v>380</v>
      </c>
      <c r="B313">
        <v>288</v>
      </c>
      <c r="C313">
        <v>8</v>
      </c>
      <c r="D313" t="str">
        <f>IFERROR(VLOOKUP(C313, merchants!$A$2:$D$41, 2, FALSE), "Merchant not found")</f>
        <v>Merchant_008</v>
      </c>
      <c r="E313" t="str">
        <f>IFERROR(VLOOKUP(C313, merchants!$A$2:$D$41, 3, FALSE), "Merchant not found")</f>
        <v>food_delivery</v>
      </c>
      <c r="F313" t="str">
        <f>IFERROR(VLOOKUP(C313, merchants!$A$2:$D$41, 4, FALSE), "Merchant not found")</f>
        <v>North</v>
      </c>
      <c r="G313" s="1">
        <v>46039.540277777778</v>
      </c>
      <c r="H313">
        <v>49</v>
      </c>
      <c r="I313" t="s">
        <v>66</v>
      </c>
      <c r="J313" t="s">
        <v>64</v>
      </c>
      <c r="K313">
        <v>33</v>
      </c>
      <c r="L313">
        <f>IFERROR(HLOOKUP(TRIM(I313), FeeTable!$B$1:$H$2, 2, FALSE) * H313, 0)</f>
        <v>0</v>
      </c>
      <c r="M313" t="str">
        <f t="shared" si="4"/>
        <v>Standard</v>
      </c>
    </row>
    <row r="314" spans="1:13" x14ac:dyDescent="0.3">
      <c r="A314" t="s">
        <v>381</v>
      </c>
      <c r="B314">
        <v>229</v>
      </c>
      <c r="C314">
        <v>14</v>
      </c>
      <c r="D314" t="str">
        <f>IFERROR(VLOOKUP(C314, merchants!$A$2:$D$41, 2, FALSE), "Merchant not found")</f>
        <v>Merchant_014</v>
      </c>
      <c r="E314" t="str">
        <f>IFERROR(VLOOKUP(C314, merchants!$A$2:$D$41, 3, FALSE), "Merchant not found")</f>
        <v>grocery</v>
      </c>
      <c r="F314" t="str">
        <f>IFERROR(VLOOKUP(C314, merchants!$A$2:$D$41, 4, FALSE), "Merchant not found")</f>
        <v>East</v>
      </c>
      <c r="G314" s="1">
        <v>46047.364583333336</v>
      </c>
      <c r="H314">
        <v>1499</v>
      </c>
      <c r="I314" t="s">
        <v>66</v>
      </c>
      <c r="J314" t="s">
        <v>64</v>
      </c>
      <c r="K314">
        <v>78</v>
      </c>
      <c r="L314">
        <f>IFERROR(HLOOKUP(TRIM(I314), FeeTable!$B$1:$H$2, 2, FALSE) * H314, 0)</f>
        <v>0</v>
      </c>
      <c r="M314" t="str">
        <f t="shared" si="4"/>
        <v>Standard</v>
      </c>
    </row>
    <row r="315" spans="1:13" x14ac:dyDescent="0.3">
      <c r="A315" t="s">
        <v>382</v>
      </c>
      <c r="B315">
        <v>252</v>
      </c>
      <c r="C315">
        <v>13</v>
      </c>
      <c r="D315" t="str">
        <f>IFERROR(VLOOKUP(C315, merchants!$A$2:$D$41, 2, FALSE), "Merchant not found")</f>
        <v>Merchant_013</v>
      </c>
      <c r="E315" t="str">
        <f>IFERROR(VLOOKUP(C315, merchants!$A$2:$D$41, 3, FALSE), "Merchant not found")</f>
        <v>travel</v>
      </c>
      <c r="F315" t="str">
        <f>IFERROR(VLOOKUP(C315, merchants!$A$2:$D$41, 4, FALSE), "Merchant not found")</f>
        <v>East</v>
      </c>
      <c r="G315" s="1">
        <v>46032.956944444442</v>
      </c>
      <c r="H315">
        <v>99</v>
      </c>
      <c r="I315" t="s">
        <v>63</v>
      </c>
      <c r="J315" t="s">
        <v>64</v>
      </c>
      <c r="K315">
        <v>15</v>
      </c>
      <c r="L315">
        <f>IFERROR(HLOOKUP(TRIM(I315), FeeTable!$B$1:$H$2, 2, FALSE) * H315, 0)</f>
        <v>1.089</v>
      </c>
      <c r="M315" t="str">
        <f t="shared" si="4"/>
        <v>Standard</v>
      </c>
    </row>
    <row r="316" spans="1:13" x14ac:dyDescent="0.3">
      <c r="A316" t="s">
        <v>383</v>
      </c>
      <c r="B316">
        <v>89</v>
      </c>
      <c r="C316">
        <v>29</v>
      </c>
      <c r="D316" t="str">
        <f>IFERROR(VLOOKUP(C316, merchants!$A$2:$D$41, 2, FALSE), "Merchant not found")</f>
        <v>Merchant_029</v>
      </c>
      <c r="E316" t="str">
        <f>IFERROR(VLOOKUP(C316, merchants!$A$2:$D$41, 3, FALSE), "Merchant not found")</f>
        <v>ecommerce</v>
      </c>
      <c r="F316" t="str">
        <f>IFERROR(VLOOKUP(C316, merchants!$A$2:$D$41, 4, FALSE), "Merchant not found")</f>
        <v>North</v>
      </c>
      <c r="G316" s="1">
        <v>46027.102777777778</v>
      </c>
      <c r="H316">
        <v>799</v>
      </c>
      <c r="I316" t="s">
        <v>66</v>
      </c>
      <c r="J316" t="s">
        <v>64</v>
      </c>
      <c r="K316">
        <v>11</v>
      </c>
      <c r="L316">
        <f>IFERROR(HLOOKUP(TRIM(I316), FeeTable!$B$1:$H$2, 2, FALSE) * H316, 0)</f>
        <v>0</v>
      </c>
      <c r="M316" t="str">
        <f t="shared" si="4"/>
        <v>Standard</v>
      </c>
    </row>
    <row r="317" spans="1:13" x14ac:dyDescent="0.3">
      <c r="A317" t="s">
        <v>384</v>
      </c>
      <c r="B317">
        <v>164</v>
      </c>
      <c r="C317">
        <v>23</v>
      </c>
      <c r="D317" t="str">
        <f>IFERROR(VLOOKUP(C317, merchants!$A$2:$D$41, 2, FALSE), "Merchant not found")</f>
        <v>Merchant_023</v>
      </c>
      <c r="E317" t="str">
        <f>IFERROR(VLOOKUP(C317, merchants!$A$2:$D$41, 3, FALSE), "Merchant not found")</f>
        <v>travel</v>
      </c>
      <c r="F317" t="str">
        <f>IFERROR(VLOOKUP(C317, merchants!$A$2:$D$41, 4, FALSE), "Merchant not found")</f>
        <v>North</v>
      </c>
      <c r="G317" s="1">
        <v>46048.912499999999</v>
      </c>
      <c r="H317">
        <v>49</v>
      </c>
      <c r="I317" t="s">
        <v>69</v>
      </c>
      <c r="J317" t="s">
        <v>64</v>
      </c>
      <c r="K317">
        <v>90</v>
      </c>
      <c r="L317">
        <f>IFERROR(HLOOKUP(TRIM(I317), FeeTable!$B$1:$H$2, 2, FALSE) * H317, 0)</f>
        <v>0.73499999999999999</v>
      </c>
      <c r="M317" t="str">
        <f t="shared" si="4"/>
        <v>Standard</v>
      </c>
    </row>
    <row r="318" spans="1:13" x14ac:dyDescent="0.3">
      <c r="A318" t="s">
        <v>385</v>
      </c>
      <c r="B318">
        <v>149</v>
      </c>
      <c r="C318">
        <v>20</v>
      </c>
      <c r="D318" t="str">
        <f>IFERROR(VLOOKUP(C318, merchants!$A$2:$D$41, 2, FALSE), "Merchant not found")</f>
        <v>Merchant_020</v>
      </c>
      <c r="E318" t="str">
        <f>IFERROR(VLOOKUP(C318, merchants!$A$2:$D$41, 3, FALSE), "Merchant not found")</f>
        <v>food_delivery</v>
      </c>
      <c r="F318" t="str">
        <f>IFERROR(VLOOKUP(C318, merchants!$A$2:$D$41, 4, FALSE), "Merchant not found")</f>
        <v>East</v>
      </c>
      <c r="G318" s="1">
        <v>46025.731944444444</v>
      </c>
      <c r="H318">
        <v>299</v>
      </c>
      <c r="I318" t="s">
        <v>63</v>
      </c>
      <c r="J318" t="s">
        <v>64</v>
      </c>
      <c r="K318">
        <v>20</v>
      </c>
      <c r="L318">
        <f>IFERROR(HLOOKUP(TRIM(I318), FeeTable!$B$1:$H$2, 2, FALSE) * H318, 0)</f>
        <v>3.2889999999999997</v>
      </c>
      <c r="M318" t="str">
        <f t="shared" si="4"/>
        <v>Standard</v>
      </c>
    </row>
    <row r="319" spans="1:13" x14ac:dyDescent="0.3">
      <c r="A319" t="s">
        <v>386</v>
      </c>
      <c r="B319">
        <v>327</v>
      </c>
      <c r="C319">
        <v>12</v>
      </c>
      <c r="D319" t="str">
        <f>IFERROR(VLOOKUP(C319, merchants!$A$2:$D$41, 2, FALSE), "Merchant not found")</f>
        <v>Merchant_012</v>
      </c>
      <c r="E319" t="str">
        <f>IFERROR(VLOOKUP(C319, merchants!$A$2:$D$41, 3, FALSE), "Merchant not found")</f>
        <v>ecommerce</v>
      </c>
      <c r="F319" t="str">
        <f>IFERROR(VLOOKUP(C319, merchants!$A$2:$D$41, 4, FALSE), "Merchant not found")</f>
        <v>East</v>
      </c>
      <c r="G319" s="1">
        <v>46045.957638888889</v>
      </c>
      <c r="H319">
        <v>49</v>
      </c>
      <c r="I319" t="s">
        <v>69</v>
      </c>
      <c r="J319" t="s">
        <v>64</v>
      </c>
      <c r="K319">
        <v>46</v>
      </c>
      <c r="L319">
        <f>IFERROR(HLOOKUP(TRIM(I319), FeeTable!$B$1:$H$2, 2, FALSE) * H319, 0)</f>
        <v>0.73499999999999999</v>
      </c>
      <c r="M319" t="str">
        <f t="shared" si="4"/>
        <v>Standard</v>
      </c>
    </row>
    <row r="320" spans="1:13" x14ac:dyDescent="0.3">
      <c r="A320" t="s">
        <v>387</v>
      </c>
      <c r="B320">
        <v>103</v>
      </c>
      <c r="C320">
        <v>9</v>
      </c>
      <c r="D320" t="str">
        <f>IFERROR(VLOOKUP(C320, merchants!$A$2:$D$41, 2, FALSE), "Merchant not found")</f>
        <v>Merchant_009</v>
      </c>
      <c r="E320" t="str">
        <f>IFERROR(VLOOKUP(C320, merchants!$A$2:$D$41, 3, FALSE), "Merchant not found")</f>
        <v>ecommerce</v>
      </c>
      <c r="F320" t="str">
        <f>IFERROR(VLOOKUP(C320, merchants!$A$2:$D$41, 4, FALSE), "Merchant not found")</f>
        <v>North</v>
      </c>
      <c r="G320" s="1">
        <v>46039.296527777777</v>
      </c>
      <c r="H320">
        <v>149</v>
      </c>
      <c r="I320" t="s">
        <v>66</v>
      </c>
      <c r="J320" t="s">
        <v>64</v>
      </c>
      <c r="K320">
        <v>30</v>
      </c>
      <c r="L320">
        <f>IFERROR(HLOOKUP(TRIM(I320), FeeTable!$B$1:$H$2, 2, FALSE) * H320, 0)</f>
        <v>0</v>
      </c>
      <c r="M320" t="str">
        <f t="shared" si="4"/>
        <v>Standard</v>
      </c>
    </row>
    <row r="321" spans="1:13" x14ac:dyDescent="0.3">
      <c r="A321" t="s">
        <v>388</v>
      </c>
      <c r="B321">
        <v>185</v>
      </c>
      <c r="C321">
        <v>36</v>
      </c>
      <c r="D321" t="str">
        <f>IFERROR(VLOOKUP(C321, merchants!$A$2:$D$41, 2, FALSE), "Merchant not found")</f>
        <v>Merchant_036</v>
      </c>
      <c r="E321" t="str">
        <f>IFERROR(VLOOKUP(C321, merchants!$A$2:$D$41, 3, FALSE), "Merchant not found")</f>
        <v>entertainment</v>
      </c>
      <c r="F321" t="str">
        <f>IFERROR(VLOOKUP(C321, merchants!$A$2:$D$41, 4, FALSE), "Merchant not found")</f>
        <v>East</v>
      </c>
      <c r="G321" s="1">
        <v>46048.625694444447</v>
      </c>
      <c r="H321">
        <v>49</v>
      </c>
      <c r="I321" t="s">
        <v>63</v>
      </c>
      <c r="J321" t="s">
        <v>64</v>
      </c>
      <c r="K321">
        <v>73</v>
      </c>
      <c r="L321">
        <f>IFERROR(HLOOKUP(TRIM(I321), FeeTable!$B$1:$H$2, 2, FALSE) * H321, 0)</f>
        <v>0.53899999999999992</v>
      </c>
      <c r="M321" t="str">
        <f t="shared" si="4"/>
        <v>Standard</v>
      </c>
    </row>
    <row r="322" spans="1:13" x14ac:dyDescent="0.3">
      <c r="A322" t="s">
        <v>389</v>
      </c>
      <c r="B322">
        <v>283</v>
      </c>
      <c r="C322">
        <v>9</v>
      </c>
      <c r="D322" t="str">
        <f>IFERROR(VLOOKUP(C322, merchants!$A$2:$D$41, 2, FALSE), "Merchant not found")</f>
        <v>Merchant_009</v>
      </c>
      <c r="E322" t="str">
        <f>IFERROR(VLOOKUP(C322, merchants!$A$2:$D$41, 3, FALSE), "Merchant not found")</f>
        <v>ecommerce</v>
      </c>
      <c r="F322" t="str">
        <f>IFERROR(VLOOKUP(C322, merchants!$A$2:$D$41, 4, FALSE), "Merchant not found")</f>
        <v>North</v>
      </c>
      <c r="G322" s="1">
        <v>46034.618750000001</v>
      </c>
      <c r="H322">
        <v>299</v>
      </c>
      <c r="I322" t="s">
        <v>66</v>
      </c>
      <c r="J322" t="s">
        <v>64</v>
      </c>
      <c r="K322">
        <v>78</v>
      </c>
      <c r="L322">
        <f>IFERROR(HLOOKUP(TRIM(I322), FeeTable!$B$1:$H$2, 2, FALSE) * H322, 0)</f>
        <v>0</v>
      </c>
      <c r="M322" t="str">
        <f t="shared" si="4"/>
        <v>Standard</v>
      </c>
    </row>
    <row r="323" spans="1:13" x14ac:dyDescent="0.3">
      <c r="A323" t="s">
        <v>390</v>
      </c>
      <c r="B323">
        <v>159</v>
      </c>
      <c r="C323">
        <v>26</v>
      </c>
      <c r="D323" t="str">
        <f>IFERROR(VLOOKUP(C323, merchants!$A$2:$D$41, 2, FALSE), "Merchant not found")</f>
        <v>Merchant_026</v>
      </c>
      <c r="E323" t="str">
        <f>IFERROR(VLOOKUP(C323, merchants!$A$2:$D$41, 3, FALSE), "Merchant not found")</f>
        <v>food_delivery</v>
      </c>
      <c r="F323" t="str">
        <f>IFERROR(VLOOKUP(C323, merchants!$A$2:$D$41, 4, FALSE), "Merchant not found")</f>
        <v>East</v>
      </c>
      <c r="G323" s="1">
        <v>46051.086111111108</v>
      </c>
      <c r="H323">
        <v>99</v>
      </c>
      <c r="I323" t="s">
        <v>66</v>
      </c>
      <c r="J323" t="s">
        <v>64</v>
      </c>
      <c r="K323">
        <v>91</v>
      </c>
      <c r="L323">
        <f>IFERROR(HLOOKUP(TRIM(I323), FeeTable!$B$1:$H$2, 2, FALSE) * H323, 0)</f>
        <v>0</v>
      </c>
      <c r="M323" t="str">
        <f t="shared" ref="M323:M386" si="5">IF(AND(H323 &gt; 5000, F323 &lt;&gt; "East"), "High-Value Merchant Day", "Standard")</f>
        <v>Standard</v>
      </c>
    </row>
    <row r="324" spans="1:13" x14ac:dyDescent="0.3">
      <c r="A324" t="s">
        <v>391</v>
      </c>
      <c r="B324">
        <v>211</v>
      </c>
      <c r="C324">
        <v>27</v>
      </c>
      <c r="D324" t="str">
        <f>IFERROR(VLOOKUP(C324, merchants!$A$2:$D$41, 2, FALSE), "Merchant not found")</f>
        <v>Merchant_027</v>
      </c>
      <c r="E324" t="str">
        <f>IFERROR(VLOOKUP(C324, merchants!$A$2:$D$41, 3, FALSE), "Merchant not found")</f>
        <v>ecommerce</v>
      </c>
      <c r="F324" t="str">
        <f>IFERROR(VLOOKUP(C324, merchants!$A$2:$D$41, 4, FALSE), "Merchant not found")</f>
        <v>North</v>
      </c>
      <c r="G324" s="1">
        <v>46046.647916666669</v>
      </c>
      <c r="H324">
        <v>99</v>
      </c>
      <c r="I324" t="s">
        <v>63</v>
      </c>
      <c r="J324" t="s">
        <v>64</v>
      </c>
      <c r="K324">
        <v>73</v>
      </c>
      <c r="L324">
        <f>IFERROR(HLOOKUP(TRIM(I324), FeeTable!$B$1:$H$2, 2, FALSE) * H324, 0)</f>
        <v>1.089</v>
      </c>
      <c r="M324" t="str">
        <f t="shared" si="5"/>
        <v>Standard</v>
      </c>
    </row>
    <row r="325" spans="1:13" x14ac:dyDescent="0.3">
      <c r="A325" t="s">
        <v>392</v>
      </c>
      <c r="B325">
        <v>329</v>
      </c>
      <c r="C325">
        <v>5</v>
      </c>
      <c r="D325" t="str">
        <f>IFERROR(VLOOKUP(C325, merchants!$A$2:$D$41, 2, FALSE), "Merchant not found")</f>
        <v>Merchant_005</v>
      </c>
      <c r="E325" t="str">
        <f>IFERROR(VLOOKUP(C325, merchants!$A$2:$D$41, 3, FALSE), "Merchant not found")</f>
        <v>recharge</v>
      </c>
      <c r="F325" t="str">
        <f>IFERROR(VLOOKUP(C325, merchants!$A$2:$D$41, 4, FALSE), "Merchant not found")</f>
        <v>South</v>
      </c>
      <c r="G325" s="1">
        <v>46025.180555555555</v>
      </c>
      <c r="H325">
        <v>499</v>
      </c>
      <c r="I325" t="s">
        <v>69</v>
      </c>
      <c r="J325" t="s">
        <v>64</v>
      </c>
      <c r="K325">
        <v>57</v>
      </c>
      <c r="L325">
        <f>IFERROR(HLOOKUP(TRIM(I325), FeeTable!$B$1:$H$2, 2, FALSE) * H325, 0)</f>
        <v>7.4849999999999994</v>
      </c>
      <c r="M325" t="str">
        <f t="shared" si="5"/>
        <v>Standard</v>
      </c>
    </row>
    <row r="326" spans="1:13" x14ac:dyDescent="0.3">
      <c r="A326" t="s">
        <v>393</v>
      </c>
      <c r="B326">
        <v>177</v>
      </c>
      <c r="C326">
        <v>9</v>
      </c>
      <c r="D326" t="str">
        <f>IFERROR(VLOOKUP(C326, merchants!$A$2:$D$41, 2, FALSE), "Merchant not found")</f>
        <v>Merchant_009</v>
      </c>
      <c r="E326" t="str">
        <f>IFERROR(VLOOKUP(C326, merchants!$A$2:$D$41, 3, FALSE), "Merchant not found")</f>
        <v>ecommerce</v>
      </c>
      <c r="F326" t="str">
        <f>IFERROR(VLOOKUP(C326, merchants!$A$2:$D$41, 4, FALSE), "Merchant not found")</f>
        <v>North</v>
      </c>
      <c r="G326" s="1">
        <v>46037.897916666669</v>
      </c>
      <c r="H326">
        <v>99</v>
      </c>
      <c r="I326" t="s">
        <v>66</v>
      </c>
      <c r="J326" t="s">
        <v>64</v>
      </c>
      <c r="K326">
        <v>99</v>
      </c>
      <c r="L326">
        <f>IFERROR(HLOOKUP(TRIM(I326), FeeTable!$B$1:$H$2, 2, FALSE) * H326, 0)</f>
        <v>0</v>
      </c>
      <c r="M326" t="str">
        <f t="shared" si="5"/>
        <v>Standard</v>
      </c>
    </row>
    <row r="327" spans="1:13" x14ac:dyDescent="0.3">
      <c r="A327" t="s">
        <v>394</v>
      </c>
      <c r="B327">
        <v>94</v>
      </c>
      <c r="C327">
        <v>9</v>
      </c>
      <c r="D327" t="str">
        <f>IFERROR(VLOOKUP(C327, merchants!$A$2:$D$41, 2, FALSE), "Merchant not found")</f>
        <v>Merchant_009</v>
      </c>
      <c r="E327" t="str">
        <f>IFERROR(VLOOKUP(C327, merchants!$A$2:$D$41, 3, FALSE), "Merchant not found")</f>
        <v>ecommerce</v>
      </c>
      <c r="F327" t="str">
        <f>IFERROR(VLOOKUP(C327, merchants!$A$2:$D$41, 4, FALSE), "Merchant not found")</f>
        <v>North</v>
      </c>
      <c r="G327" s="1">
        <v>46040.859027777777</v>
      </c>
      <c r="H327">
        <v>299</v>
      </c>
      <c r="I327" t="s">
        <v>66</v>
      </c>
      <c r="J327" t="s">
        <v>64</v>
      </c>
      <c r="K327">
        <v>55</v>
      </c>
      <c r="L327">
        <f>IFERROR(HLOOKUP(TRIM(I327), FeeTable!$B$1:$H$2, 2, FALSE) * H327, 0)</f>
        <v>0</v>
      </c>
      <c r="M327" t="str">
        <f t="shared" si="5"/>
        <v>Standard</v>
      </c>
    </row>
    <row r="328" spans="1:13" x14ac:dyDescent="0.3">
      <c r="A328" t="s">
        <v>395</v>
      </c>
      <c r="B328">
        <v>64</v>
      </c>
      <c r="C328">
        <v>34</v>
      </c>
      <c r="D328" t="str">
        <f>IFERROR(VLOOKUP(C328, merchants!$A$2:$D$41, 2, FALSE), "Merchant not found")</f>
        <v>Merchant_034</v>
      </c>
      <c r="E328" t="str">
        <f>IFERROR(VLOOKUP(C328, merchants!$A$2:$D$41, 3, FALSE), "Merchant not found")</f>
        <v>travel</v>
      </c>
      <c r="F328" t="str">
        <f>IFERROR(VLOOKUP(C328, merchants!$A$2:$D$41, 4, FALSE), "Merchant not found")</f>
        <v>South</v>
      </c>
      <c r="G328" s="1">
        <v>46039.078472222223</v>
      </c>
      <c r="H328">
        <v>299</v>
      </c>
      <c r="I328" t="s">
        <v>66</v>
      </c>
      <c r="J328" t="s">
        <v>64</v>
      </c>
      <c r="K328">
        <v>19</v>
      </c>
      <c r="L328">
        <f>IFERROR(HLOOKUP(TRIM(I328), FeeTable!$B$1:$H$2, 2, FALSE) * H328, 0)</f>
        <v>0</v>
      </c>
      <c r="M328" t="str">
        <f t="shared" si="5"/>
        <v>Standard</v>
      </c>
    </row>
    <row r="329" spans="1:13" x14ac:dyDescent="0.3">
      <c r="A329" t="s">
        <v>396</v>
      </c>
      <c r="B329">
        <v>166</v>
      </c>
      <c r="C329">
        <v>15</v>
      </c>
      <c r="D329" t="str">
        <f>IFERROR(VLOOKUP(C329, merchants!$A$2:$D$41, 2, FALSE), "Merchant not found")</f>
        <v>Merchant_015</v>
      </c>
      <c r="E329" t="str">
        <f>IFERROR(VLOOKUP(C329, merchants!$A$2:$D$41, 3, FALSE), "Merchant not found")</f>
        <v>travel</v>
      </c>
      <c r="F329" t="str">
        <f>IFERROR(VLOOKUP(C329, merchants!$A$2:$D$41, 4, FALSE), "Merchant not found")</f>
        <v>North</v>
      </c>
      <c r="G329" s="1">
        <v>46032.215277777781</v>
      </c>
      <c r="H329">
        <v>49</v>
      </c>
      <c r="I329" t="s">
        <v>66</v>
      </c>
      <c r="J329" t="s">
        <v>64</v>
      </c>
      <c r="K329">
        <v>44</v>
      </c>
      <c r="L329">
        <f>IFERROR(HLOOKUP(TRIM(I329), FeeTable!$B$1:$H$2, 2, FALSE) * H329, 0)</f>
        <v>0</v>
      </c>
      <c r="M329" t="str">
        <f t="shared" si="5"/>
        <v>Standard</v>
      </c>
    </row>
    <row r="330" spans="1:13" x14ac:dyDescent="0.3">
      <c r="A330" t="s">
        <v>397</v>
      </c>
      <c r="B330">
        <v>41</v>
      </c>
      <c r="C330">
        <v>17</v>
      </c>
      <c r="D330" t="str">
        <f>IFERROR(VLOOKUP(C330, merchants!$A$2:$D$41, 2, FALSE), "Merchant not found")</f>
        <v>Merchant_017</v>
      </c>
      <c r="E330" t="str">
        <f>IFERROR(VLOOKUP(C330, merchants!$A$2:$D$41, 3, FALSE), "Merchant not found")</f>
        <v>grocery</v>
      </c>
      <c r="F330" t="str">
        <f>IFERROR(VLOOKUP(C330, merchants!$A$2:$D$41, 4, FALSE), "Merchant not found")</f>
        <v>North</v>
      </c>
      <c r="G330" s="1">
        <v>46039.412499999999</v>
      </c>
      <c r="H330">
        <v>299</v>
      </c>
      <c r="I330" t="s">
        <v>63</v>
      </c>
      <c r="J330" t="s">
        <v>64</v>
      </c>
      <c r="K330">
        <v>25</v>
      </c>
      <c r="L330">
        <f>IFERROR(HLOOKUP(TRIM(I330), FeeTable!$B$1:$H$2, 2, FALSE) * H330, 0)</f>
        <v>3.2889999999999997</v>
      </c>
      <c r="M330" t="str">
        <f t="shared" si="5"/>
        <v>Standard</v>
      </c>
    </row>
    <row r="331" spans="1:13" x14ac:dyDescent="0.3">
      <c r="A331" t="s">
        <v>398</v>
      </c>
      <c r="B331">
        <v>65</v>
      </c>
      <c r="C331">
        <v>20</v>
      </c>
      <c r="D331" t="str">
        <f>IFERROR(VLOOKUP(C331, merchants!$A$2:$D$41, 2, FALSE), "Merchant not found")</f>
        <v>Merchant_020</v>
      </c>
      <c r="E331" t="str">
        <f>IFERROR(VLOOKUP(C331, merchants!$A$2:$D$41, 3, FALSE), "Merchant not found")</f>
        <v>food_delivery</v>
      </c>
      <c r="F331" t="str">
        <f>IFERROR(VLOOKUP(C331, merchants!$A$2:$D$41, 4, FALSE), "Merchant not found")</f>
        <v>East</v>
      </c>
      <c r="G331" s="1">
        <v>46043.720138888886</v>
      </c>
      <c r="H331">
        <v>99</v>
      </c>
      <c r="I331" t="s">
        <v>78</v>
      </c>
      <c r="J331" t="s">
        <v>64</v>
      </c>
      <c r="K331">
        <v>78</v>
      </c>
      <c r="L331">
        <f>IFERROR(HLOOKUP(TRIM(I331), FeeTable!$B$1:$H$2, 2, FALSE) * H331, 0)</f>
        <v>1.7819999999999998</v>
      </c>
      <c r="M331" t="str">
        <f t="shared" si="5"/>
        <v>Standard</v>
      </c>
    </row>
    <row r="332" spans="1:13" x14ac:dyDescent="0.3">
      <c r="A332" t="s">
        <v>399</v>
      </c>
      <c r="B332">
        <v>329</v>
      </c>
      <c r="C332">
        <v>11</v>
      </c>
      <c r="D332" t="str">
        <f>IFERROR(VLOOKUP(C332, merchants!$A$2:$D$41, 2, FALSE), "Merchant not found")</f>
        <v>Merchant_011</v>
      </c>
      <c r="E332" t="str">
        <f>IFERROR(VLOOKUP(C332, merchants!$A$2:$D$41, 3, FALSE), "Merchant not found")</f>
        <v>ecommerce</v>
      </c>
      <c r="F332" t="str">
        <f>IFERROR(VLOOKUP(C332, merchants!$A$2:$D$41, 4, FALSE), "Merchant not found")</f>
        <v>North</v>
      </c>
      <c r="G332" s="1">
        <v>46040.105555555558</v>
      </c>
      <c r="H332">
        <v>499</v>
      </c>
      <c r="I332" t="s">
        <v>66</v>
      </c>
      <c r="J332" t="s">
        <v>64</v>
      </c>
      <c r="K332">
        <v>75</v>
      </c>
      <c r="L332">
        <f>IFERROR(HLOOKUP(TRIM(I332), FeeTable!$B$1:$H$2, 2, FALSE) * H332, 0)</f>
        <v>0</v>
      </c>
      <c r="M332" t="str">
        <f t="shared" si="5"/>
        <v>Standard</v>
      </c>
    </row>
    <row r="333" spans="1:13" x14ac:dyDescent="0.3">
      <c r="A333" t="s">
        <v>400</v>
      </c>
      <c r="B333">
        <v>338</v>
      </c>
      <c r="C333">
        <v>40</v>
      </c>
      <c r="D333" t="str">
        <f>IFERROR(VLOOKUP(C333, merchants!$A$2:$D$41, 2, FALSE), "Merchant not found")</f>
        <v>Merchant_040</v>
      </c>
      <c r="E333" t="str">
        <f>IFERROR(VLOOKUP(C333, merchants!$A$2:$D$41, 3, FALSE), "Merchant not found")</f>
        <v>entertainment</v>
      </c>
      <c r="F333" t="str">
        <f>IFERROR(VLOOKUP(C333, merchants!$A$2:$D$41, 4, FALSE), "Merchant not found")</f>
        <v>South</v>
      </c>
      <c r="G333" s="1">
        <v>46041.173611111109</v>
      </c>
      <c r="H333">
        <v>149</v>
      </c>
      <c r="I333" t="s">
        <v>66</v>
      </c>
      <c r="J333" t="s">
        <v>64</v>
      </c>
      <c r="K333">
        <v>92</v>
      </c>
      <c r="L333">
        <f>IFERROR(HLOOKUP(TRIM(I333), FeeTable!$B$1:$H$2, 2, FALSE) * H333, 0)</f>
        <v>0</v>
      </c>
      <c r="M333" t="str">
        <f t="shared" si="5"/>
        <v>Standard</v>
      </c>
    </row>
    <row r="334" spans="1:13" x14ac:dyDescent="0.3">
      <c r="A334" t="s">
        <v>401</v>
      </c>
      <c r="B334">
        <v>289</v>
      </c>
      <c r="C334">
        <v>3</v>
      </c>
      <c r="D334" t="str">
        <f>IFERROR(VLOOKUP(C334, merchants!$A$2:$D$41, 2, FALSE), "Merchant not found")</f>
        <v>Merchant_003</v>
      </c>
      <c r="E334" t="str">
        <f>IFERROR(VLOOKUP(C334, merchants!$A$2:$D$41, 3, FALSE), "Merchant not found")</f>
        <v>grocery</v>
      </c>
      <c r="F334" t="str">
        <f>IFERROR(VLOOKUP(C334, merchants!$A$2:$D$41, 4, FALSE), "Merchant not found")</f>
        <v>East</v>
      </c>
      <c r="G334" s="1">
        <v>46051.806250000001</v>
      </c>
      <c r="H334">
        <v>49</v>
      </c>
      <c r="I334" t="s">
        <v>69</v>
      </c>
      <c r="J334" t="s">
        <v>64</v>
      </c>
      <c r="K334">
        <v>3</v>
      </c>
      <c r="L334">
        <f>IFERROR(HLOOKUP(TRIM(I334), FeeTable!$B$1:$H$2, 2, FALSE) * H334, 0)</f>
        <v>0.73499999999999999</v>
      </c>
      <c r="M334" t="str">
        <f t="shared" si="5"/>
        <v>Standard</v>
      </c>
    </row>
    <row r="335" spans="1:13" x14ac:dyDescent="0.3">
      <c r="A335" t="s">
        <v>402</v>
      </c>
      <c r="B335">
        <v>296</v>
      </c>
      <c r="C335">
        <v>17</v>
      </c>
      <c r="D335" t="str">
        <f>IFERROR(VLOOKUP(C335, merchants!$A$2:$D$41, 2, FALSE), "Merchant not found")</f>
        <v>Merchant_017</v>
      </c>
      <c r="E335" t="str">
        <f>IFERROR(VLOOKUP(C335, merchants!$A$2:$D$41, 3, FALSE), "Merchant not found")</f>
        <v>grocery</v>
      </c>
      <c r="F335" t="str">
        <f>IFERROR(VLOOKUP(C335, merchants!$A$2:$D$41, 4, FALSE), "Merchant not found")</f>
        <v>North</v>
      </c>
      <c r="G335" s="1">
        <v>46025.070138888892</v>
      </c>
      <c r="H335">
        <v>99</v>
      </c>
      <c r="I335" t="s">
        <v>66</v>
      </c>
      <c r="J335" t="s">
        <v>64</v>
      </c>
      <c r="K335">
        <v>83</v>
      </c>
      <c r="L335">
        <f>IFERROR(HLOOKUP(TRIM(I335), FeeTable!$B$1:$H$2, 2, FALSE) * H335, 0)</f>
        <v>0</v>
      </c>
      <c r="M335" t="str">
        <f t="shared" si="5"/>
        <v>Standard</v>
      </c>
    </row>
    <row r="336" spans="1:13" x14ac:dyDescent="0.3">
      <c r="A336" t="s">
        <v>403</v>
      </c>
      <c r="B336">
        <v>317</v>
      </c>
      <c r="C336">
        <v>2</v>
      </c>
      <c r="D336" t="str">
        <f>IFERROR(VLOOKUP(C336, merchants!$A$2:$D$41, 2, FALSE), "Merchant not found")</f>
        <v>Merchant_002</v>
      </c>
      <c r="E336" t="str">
        <f>IFERROR(VLOOKUP(C336, merchants!$A$2:$D$41, 3, FALSE), "Merchant not found")</f>
        <v>grocery</v>
      </c>
      <c r="F336" t="str">
        <f>IFERROR(VLOOKUP(C336, merchants!$A$2:$D$41, 4, FALSE), "Merchant not found")</f>
        <v>West</v>
      </c>
      <c r="G336" s="1">
        <v>46029.768055555556</v>
      </c>
      <c r="H336">
        <v>499</v>
      </c>
      <c r="I336" t="s">
        <v>78</v>
      </c>
      <c r="J336" t="s">
        <v>64</v>
      </c>
      <c r="K336">
        <v>63</v>
      </c>
      <c r="L336">
        <f>IFERROR(HLOOKUP(TRIM(I336), FeeTable!$B$1:$H$2, 2, FALSE) * H336, 0)</f>
        <v>8.9819999999999993</v>
      </c>
      <c r="M336" t="str">
        <f t="shared" si="5"/>
        <v>Standard</v>
      </c>
    </row>
    <row r="337" spans="1:13" x14ac:dyDescent="0.3">
      <c r="A337" t="s">
        <v>404</v>
      </c>
      <c r="B337">
        <v>149</v>
      </c>
      <c r="C337">
        <v>20</v>
      </c>
      <c r="D337" t="str">
        <f>IFERROR(VLOOKUP(C337, merchants!$A$2:$D$41, 2, FALSE), "Merchant not found")</f>
        <v>Merchant_020</v>
      </c>
      <c r="E337" t="str">
        <f>IFERROR(VLOOKUP(C337, merchants!$A$2:$D$41, 3, FALSE), "Merchant not found")</f>
        <v>food_delivery</v>
      </c>
      <c r="F337" t="str">
        <f>IFERROR(VLOOKUP(C337, merchants!$A$2:$D$41, 4, FALSE), "Merchant not found")</f>
        <v>East</v>
      </c>
      <c r="G337" s="1">
        <v>46051.856944444444</v>
      </c>
      <c r="H337">
        <v>499</v>
      </c>
      <c r="I337" t="s">
        <v>78</v>
      </c>
      <c r="J337" t="s">
        <v>64</v>
      </c>
      <c r="K337">
        <v>61</v>
      </c>
      <c r="L337">
        <f>IFERROR(HLOOKUP(TRIM(I337), FeeTable!$B$1:$H$2, 2, FALSE) * H337, 0)</f>
        <v>8.9819999999999993</v>
      </c>
      <c r="M337" t="str">
        <f t="shared" si="5"/>
        <v>Standard</v>
      </c>
    </row>
    <row r="338" spans="1:13" x14ac:dyDescent="0.3">
      <c r="A338" t="s">
        <v>405</v>
      </c>
      <c r="B338">
        <v>153</v>
      </c>
      <c r="C338">
        <v>30</v>
      </c>
      <c r="D338" t="str">
        <f>IFERROR(VLOOKUP(C338, merchants!$A$2:$D$41, 2, FALSE), "Merchant not found")</f>
        <v>Merchant_030</v>
      </c>
      <c r="E338" t="str">
        <f>IFERROR(VLOOKUP(C338, merchants!$A$2:$D$41, 3, FALSE), "Merchant not found")</f>
        <v>travel</v>
      </c>
      <c r="F338" t="str">
        <f>IFERROR(VLOOKUP(C338, merchants!$A$2:$D$41, 4, FALSE), "Merchant not found")</f>
        <v>West</v>
      </c>
      <c r="G338" s="1">
        <v>46030.892361111109</v>
      </c>
      <c r="H338">
        <v>299</v>
      </c>
      <c r="I338" t="s">
        <v>66</v>
      </c>
      <c r="J338" t="s">
        <v>64</v>
      </c>
      <c r="K338">
        <v>9</v>
      </c>
      <c r="L338">
        <f>IFERROR(HLOOKUP(TRIM(I338), FeeTable!$B$1:$H$2, 2, FALSE) * H338, 0)</f>
        <v>0</v>
      </c>
      <c r="M338" t="str">
        <f t="shared" si="5"/>
        <v>Standard</v>
      </c>
    </row>
    <row r="339" spans="1:13" x14ac:dyDescent="0.3">
      <c r="A339" t="s">
        <v>406</v>
      </c>
      <c r="B339">
        <v>226</v>
      </c>
      <c r="C339">
        <v>27</v>
      </c>
      <c r="D339" t="str">
        <f>IFERROR(VLOOKUP(C339, merchants!$A$2:$D$41, 2, FALSE), "Merchant not found")</f>
        <v>Merchant_027</v>
      </c>
      <c r="E339" t="str">
        <f>IFERROR(VLOOKUP(C339, merchants!$A$2:$D$41, 3, FALSE), "Merchant not found")</f>
        <v>ecommerce</v>
      </c>
      <c r="F339" t="str">
        <f>IFERROR(VLOOKUP(C339, merchants!$A$2:$D$41, 4, FALSE), "Merchant not found")</f>
        <v>North</v>
      </c>
      <c r="G339" s="1">
        <v>46045.048611111109</v>
      </c>
      <c r="H339">
        <v>2999</v>
      </c>
      <c r="I339" t="s">
        <v>66</v>
      </c>
      <c r="J339" t="s">
        <v>92</v>
      </c>
      <c r="K339">
        <v>61</v>
      </c>
      <c r="L339">
        <f>IFERROR(HLOOKUP(TRIM(I339), FeeTable!$B$1:$H$2, 2, FALSE) * H339, 0)</f>
        <v>0</v>
      </c>
      <c r="M339" t="str">
        <f t="shared" si="5"/>
        <v>Standard</v>
      </c>
    </row>
    <row r="340" spans="1:13" x14ac:dyDescent="0.3">
      <c r="A340" t="s">
        <v>407</v>
      </c>
      <c r="B340">
        <v>311</v>
      </c>
      <c r="C340">
        <v>10</v>
      </c>
      <c r="D340" t="str">
        <f>IFERROR(VLOOKUP(C340, merchants!$A$2:$D$41, 2, FALSE), "Merchant not found")</f>
        <v>Merchant_010</v>
      </c>
      <c r="E340" t="str">
        <f>IFERROR(VLOOKUP(C340, merchants!$A$2:$D$41, 3, FALSE), "Merchant not found")</f>
        <v>grocery</v>
      </c>
      <c r="F340" t="str">
        <f>IFERROR(VLOOKUP(C340, merchants!$A$2:$D$41, 4, FALSE), "Merchant not found")</f>
        <v>West</v>
      </c>
      <c r="G340" s="1">
        <v>46037.26458333333</v>
      </c>
      <c r="H340">
        <v>2999</v>
      </c>
      <c r="I340" t="s">
        <v>66</v>
      </c>
      <c r="J340" t="s">
        <v>64</v>
      </c>
      <c r="K340">
        <v>40</v>
      </c>
      <c r="L340">
        <f>IFERROR(HLOOKUP(TRIM(I340), FeeTable!$B$1:$H$2, 2, FALSE) * H340, 0)</f>
        <v>0</v>
      </c>
      <c r="M340" t="str">
        <f t="shared" si="5"/>
        <v>Standard</v>
      </c>
    </row>
    <row r="341" spans="1:13" x14ac:dyDescent="0.3">
      <c r="A341" t="s">
        <v>408</v>
      </c>
      <c r="B341">
        <v>177</v>
      </c>
      <c r="C341">
        <v>26</v>
      </c>
      <c r="D341" t="str">
        <f>IFERROR(VLOOKUP(C341, merchants!$A$2:$D$41, 2, FALSE), "Merchant not found")</f>
        <v>Merchant_026</v>
      </c>
      <c r="E341" t="str">
        <f>IFERROR(VLOOKUP(C341, merchants!$A$2:$D$41, 3, FALSE), "Merchant not found")</f>
        <v>food_delivery</v>
      </c>
      <c r="F341" t="str">
        <f>IFERROR(VLOOKUP(C341, merchants!$A$2:$D$41, 4, FALSE), "Merchant not found")</f>
        <v>East</v>
      </c>
      <c r="G341" s="1">
        <v>46050.930555555555</v>
      </c>
      <c r="H341">
        <v>1499</v>
      </c>
      <c r="I341" t="s">
        <v>66</v>
      </c>
      <c r="J341" t="s">
        <v>64</v>
      </c>
      <c r="K341">
        <v>16</v>
      </c>
      <c r="L341">
        <f>IFERROR(HLOOKUP(TRIM(I341), FeeTable!$B$1:$H$2, 2, FALSE) * H341, 0)</f>
        <v>0</v>
      </c>
      <c r="M341" t="str">
        <f t="shared" si="5"/>
        <v>Standard</v>
      </c>
    </row>
    <row r="342" spans="1:13" x14ac:dyDescent="0.3">
      <c r="A342" t="s">
        <v>409</v>
      </c>
      <c r="B342">
        <v>288</v>
      </c>
      <c r="C342">
        <v>7</v>
      </c>
      <c r="D342" t="str">
        <f>IFERROR(VLOOKUP(C342, merchants!$A$2:$D$41, 2, FALSE), "Merchant not found")</f>
        <v>Merchant_007</v>
      </c>
      <c r="E342" t="str">
        <f>IFERROR(VLOOKUP(C342, merchants!$A$2:$D$41, 3, FALSE), "Merchant not found")</f>
        <v>food_delivery</v>
      </c>
      <c r="F342" t="str">
        <f>IFERROR(VLOOKUP(C342, merchants!$A$2:$D$41, 4, FALSE), "Merchant not found")</f>
        <v>East</v>
      </c>
      <c r="G342" s="1">
        <v>46047.480555555558</v>
      </c>
      <c r="H342">
        <v>99</v>
      </c>
      <c r="I342" t="s">
        <v>69</v>
      </c>
      <c r="J342" t="s">
        <v>64</v>
      </c>
      <c r="K342">
        <v>40</v>
      </c>
      <c r="L342">
        <f>IFERROR(HLOOKUP(TRIM(I342), FeeTable!$B$1:$H$2, 2, FALSE) * H342, 0)</f>
        <v>1.4849999999999999</v>
      </c>
      <c r="M342" t="str">
        <f t="shared" si="5"/>
        <v>Standard</v>
      </c>
    </row>
    <row r="343" spans="1:13" x14ac:dyDescent="0.3">
      <c r="A343" t="s">
        <v>410</v>
      </c>
      <c r="B343">
        <v>137</v>
      </c>
      <c r="C343">
        <v>29</v>
      </c>
      <c r="D343" t="str">
        <f>IFERROR(VLOOKUP(C343, merchants!$A$2:$D$41, 2, FALSE), "Merchant not found")</f>
        <v>Merchant_029</v>
      </c>
      <c r="E343" t="str">
        <f>IFERROR(VLOOKUP(C343, merchants!$A$2:$D$41, 3, FALSE), "Merchant not found")</f>
        <v>ecommerce</v>
      </c>
      <c r="F343" t="str">
        <f>IFERROR(VLOOKUP(C343, merchants!$A$2:$D$41, 4, FALSE), "Merchant not found")</f>
        <v>North</v>
      </c>
      <c r="G343" s="1">
        <v>46030.588194444441</v>
      </c>
      <c r="H343">
        <v>2999</v>
      </c>
      <c r="I343" t="s">
        <v>66</v>
      </c>
      <c r="J343" t="s">
        <v>79</v>
      </c>
      <c r="K343">
        <v>31</v>
      </c>
      <c r="L343">
        <f>IFERROR(HLOOKUP(TRIM(I343), FeeTable!$B$1:$H$2, 2, FALSE) * H343, 0)</f>
        <v>0</v>
      </c>
      <c r="M343" t="str">
        <f t="shared" si="5"/>
        <v>Standard</v>
      </c>
    </row>
    <row r="344" spans="1:13" x14ac:dyDescent="0.3">
      <c r="A344" t="s">
        <v>411</v>
      </c>
      <c r="B344">
        <v>149</v>
      </c>
      <c r="C344">
        <v>25</v>
      </c>
      <c r="D344" t="str">
        <f>IFERROR(VLOOKUP(C344, merchants!$A$2:$D$41, 2, FALSE), "Merchant not found")</f>
        <v>Merchant_025</v>
      </c>
      <c r="E344" t="str">
        <f>IFERROR(VLOOKUP(C344, merchants!$A$2:$D$41, 3, FALSE), "Merchant not found")</f>
        <v>travel</v>
      </c>
      <c r="F344" t="str">
        <f>IFERROR(VLOOKUP(C344, merchants!$A$2:$D$41, 4, FALSE), "Merchant not found")</f>
        <v>South</v>
      </c>
      <c r="G344" s="1">
        <v>46027.127083333333</v>
      </c>
      <c r="H344">
        <v>1499</v>
      </c>
      <c r="I344" t="s">
        <v>66</v>
      </c>
      <c r="J344" t="s">
        <v>64</v>
      </c>
      <c r="K344">
        <v>78</v>
      </c>
      <c r="L344">
        <f>IFERROR(HLOOKUP(TRIM(I344), FeeTable!$B$1:$H$2, 2, FALSE) * H344, 0)</f>
        <v>0</v>
      </c>
      <c r="M344" t="str">
        <f t="shared" si="5"/>
        <v>Standard</v>
      </c>
    </row>
    <row r="345" spans="1:13" x14ac:dyDescent="0.3">
      <c r="A345" t="s">
        <v>412</v>
      </c>
      <c r="B345">
        <v>82</v>
      </c>
      <c r="C345">
        <v>21</v>
      </c>
      <c r="D345" t="str">
        <f>IFERROR(VLOOKUP(C345, merchants!$A$2:$D$41, 2, FALSE), "Merchant not found")</f>
        <v>Merchant_021</v>
      </c>
      <c r="E345" t="str">
        <f>IFERROR(VLOOKUP(C345, merchants!$A$2:$D$41, 3, FALSE), "Merchant not found")</f>
        <v>food_delivery</v>
      </c>
      <c r="F345" t="str">
        <f>IFERROR(VLOOKUP(C345, merchants!$A$2:$D$41, 4, FALSE), "Merchant not found")</f>
        <v>East</v>
      </c>
      <c r="G345" s="1">
        <v>46036.329861111109</v>
      </c>
      <c r="H345">
        <v>49</v>
      </c>
      <c r="I345" t="s">
        <v>63</v>
      </c>
      <c r="J345" t="s">
        <v>64</v>
      </c>
      <c r="K345">
        <v>73</v>
      </c>
      <c r="L345">
        <f>IFERROR(HLOOKUP(TRIM(I345), FeeTable!$B$1:$H$2, 2, FALSE) * H345, 0)</f>
        <v>0.53899999999999992</v>
      </c>
      <c r="M345" t="str">
        <f t="shared" si="5"/>
        <v>Standard</v>
      </c>
    </row>
    <row r="346" spans="1:13" x14ac:dyDescent="0.3">
      <c r="A346" t="s">
        <v>413</v>
      </c>
      <c r="B346">
        <v>82</v>
      </c>
      <c r="C346">
        <v>32</v>
      </c>
      <c r="D346" t="str">
        <f>IFERROR(VLOOKUP(C346, merchants!$A$2:$D$41, 2, FALSE), "Merchant not found")</f>
        <v>Merchant_032</v>
      </c>
      <c r="E346" t="str">
        <f>IFERROR(VLOOKUP(C346, merchants!$A$2:$D$41, 3, FALSE), "Merchant not found")</f>
        <v>food_delivery</v>
      </c>
      <c r="F346" t="str">
        <f>IFERROR(VLOOKUP(C346, merchants!$A$2:$D$41, 4, FALSE), "Merchant not found")</f>
        <v>West</v>
      </c>
      <c r="G346" s="1">
        <v>46046.425000000003</v>
      </c>
      <c r="H346">
        <v>49</v>
      </c>
      <c r="I346" t="s">
        <v>66</v>
      </c>
      <c r="J346" t="s">
        <v>64</v>
      </c>
      <c r="K346">
        <v>65</v>
      </c>
      <c r="L346">
        <f>IFERROR(HLOOKUP(TRIM(I346), FeeTable!$B$1:$H$2, 2, FALSE) * H346, 0)</f>
        <v>0</v>
      </c>
      <c r="M346" t="str">
        <f t="shared" si="5"/>
        <v>Standard</v>
      </c>
    </row>
    <row r="347" spans="1:13" x14ac:dyDescent="0.3">
      <c r="A347" t="s">
        <v>414</v>
      </c>
      <c r="B347">
        <v>158</v>
      </c>
      <c r="C347">
        <v>32</v>
      </c>
      <c r="D347" t="str">
        <f>IFERROR(VLOOKUP(C347, merchants!$A$2:$D$41, 2, FALSE), "Merchant not found")</f>
        <v>Merchant_032</v>
      </c>
      <c r="E347" t="str">
        <f>IFERROR(VLOOKUP(C347, merchants!$A$2:$D$41, 3, FALSE), "Merchant not found")</f>
        <v>food_delivery</v>
      </c>
      <c r="F347" t="str">
        <f>IFERROR(VLOOKUP(C347, merchants!$A$2:$D$41, 4, FALSE), "Merchant not found")</f>
        <v>West</v>
      </c>
      <c r="G347" s="1">
        <v>46037.663888888892</v>
      </c>
      <c r="H347">
        <v>99</v>
      </c>
      <c r="I347" t="s">
        <v>63</v>
      </c>
      <c r="J347" t="s">
        <v>64</v>
      </c>
      <c r="K347">
        <v>2</v>
      </c>
      <c r="L347">
        <f>IFERROR(HLOOKUP(TRIM(I347), FeeTable!$B$1:$H$2, 2, FALSE) * H347, 0)</f>
        <v>1.089</v>
      </c>
      <c r="M347" t="str">
        <f t="shared" si="5"/>
        <v>Standard</v>
      </c>
    </row>
    <row r="348" spans="1:13" x14ac:dyDescent="0.3">
      <c r="A348" t="s">
        <v>415</v>
      </c>
      <c r="B348">
        <v>235</v>
      </c>
      <c r="C348">
        <v>16</v>
      </c>
      <c r="D348" t="str">
        <f>IFERROR(VLOOKUP(C348, merchants!$A$2:$D$41, 2, FALSE), "Merchant not found")</f>
        <v>Merchant_016</v>
      </c>
      <c r="E348" t="str">
        <f>IFERROR(VLOOKUP(C348, merchants!$A$2:$D$41, 3, FALSE), "Merchant not found")</f>
        <v>bill_payment</v>
      </c>
      <c r="F348" t="str">
        <f>IFERROR(VLOOKUP(C348, merchants!$A$2:$D$41, 4, FALSE), "Merchant not found")</f>
        <v>West</v>
      </c>
      <c r="G348" s="1">
        <v>46025.522222222222</v>
      </c>
      <c r="H348">
        <v>99</v>
      </c>
      <c r="I348" t="s">
        <v>66</v>
      </c>
      <c r="J348" t="s">
        <v>64</v>
      </c>
      <c r="K348">
        <v>27</v>
      </c>
      <c r="L348">
        <f>IFERROR(HLOOKUP(TRIM(I348), FeeTable!$B$1:$H$2, 2, FALSE) * H348, 0)</f>
        <v>0</v>
      </c>
      <c r="M348" t="str">
        <f t="shared" si="5"/>
        <v>Standard</v>
      </c>
    </row>
    <row r="349" spans="1:13" x14ac:dyDescent="0.3">
      <c r="A349" t="s">
        <v>416</v>
      </c>
      <c r="B349">
        <v>26</v>
      </c>
      <c r="C349">
        <v>19</v>
      </c>
      <c r="D349" t="str">
        <f>IFERROR(VLOOKUP(C349, merchants!$A$2:$D$41, 2, FALSE), "Merchant not found")</f>
        <v>Merchant_019</v>
      </c>
      <c r="E349" t="str">
        <f>IFERROR(VLOOKUP(C349, merchants!$A$2:$D$41, 3, FALSE), "Merchant not found")</f>
        <v>grocery</v>
      </c>
      <c r="F349" t="str">
        <f>IFERROR(VLOOKUP(C349, merchants!$A$2:$D$41, 4, FALSE), "Merchant not found")</f>
        <v>North</v>
      </c>
      <c r="G349" s="1">
        <v>46041.460416666669</v>
      </c>
      <c r="H349">
        <v>99</v>
      </c>
      <c r="I349" t="s">
        <v>63</v>
      </c>
      <c r="J349" t="s">
        <v>64</v>
      </c>
      <c r="K349">
        <v>63</v>
      </c>
      <c r="L349">
        <f>IFERROR(HLOOKUP(TRIM(I349), FeeTable!$B$1:$H$2, 2, FALSE) * H349, 0)</f>
        <v>1.089</v>
      </c>
      <c r="M349" t="str">
        <f t="shared" si="5"/>
        <v>Standard</v>
      </c>
    </row>
    <row r="350" spans="1:13" x14ac:dyDescent="0.3">
      <c r="A350" t="s">
        <v>417</v>
      </c>
      <c r="B350">
        <v>241</v>
      </c>
      <c r="C350">
        <v>19</v>
      </c>
      <c r="D350" t="str">
        <f>IFERROR(VLOOKUP(C350, merchants!$A$2:$D$41, 2, FALSE), "Merchant not found")</f>
        <v>Merchant_019</v>
      </c>
      <c r="E350" t="str">
        <f>IFERROR(VLOOKUP(C350, merchants!$A$2:$D$41, 3, FALSE), "Merchant not found")</f>
        <v>grocery</v>
      </c>
      <c r="F350" t="str">
        <f>IFERROR(VLOOKUP(C350, merchants!$A$2:$D$41, 4, FALSE), "Merchant not found")</f>
        <v>North</v>
      </c>
      <c r="G350" s="1">
        <v>46042.863194444442</v>
      </c>
      <c r="H350">
        <v>299</v>
      </c>
      <c r="I350" t="s">
        <v>66</v>
      </c>
      <c r="J350" t="s">
        <v>64</v>
      </c>
      <c r="K350">
        <v>68</v>
      </c>
      <c r="L350">
        <f>IFERROR(HLOOKUP(TRIM(I350), FeeTable!$B$1:$H$2, 2, FALSE) * H350, 0)</f>
        <v>0</v>
      </c>
      <c r="M350" t="str">
        <f t="shared" si="5"/>
        <v>Standard</v>
      </c>
    </row>
    <row r="351" spans="1:13" x14ac:dyDescent="0.3">
      <c r="A351" t="s">
        <v>418</v>
      </c>
      <c r="B351">
        <v>69</v>
      </c>
      <c r="C351">
        <v>17</v>
      </c>
      <c r="D351" t="str">
        <f>IFERROR(VLOOKUP(C351, merchants!$A$2:$D$41, 2, FALSE), "Merchant not found")</f>
        <v>Merchant_017</v>
      </c>
      <c r="E351" t="str">
        <f>IFERROR(VLOOKUP(C351, merchants!$A$2:$D$41, 3, FALSE), "Merchant not found")</f>
        <v>grocery</v>
      </c>
      <c r="F351" t="str">
        <f>IFERROR(VLOOKUP(C351, merchants!$A$2:$D$41, 4, FALSE), "Merchant not found")</f>
        <v>North</v>
      </c>
      <c r="G351" s="1">
        <v>46023.143750000003</v>
      </c>
      <c r="H351">
        <v>1499</v>
      </c>
      <c r="I351" t="s">
        <v>66</v>
      </c>
      <c r="J351" t="s">
        <v>64</v>
      </c>
      <c r="K351">
        <v>93</v>
      </c>
      <c r="L351">
        <f>IFERROR(HLOOKUP(TRIM(I351), FeeTable!$B$1:$H$2, 2, FALSE) * H351, 0)</f>
        <v>0</v>
      </c>
      <c r="M351" t="str">
        <f t="shared" si="5"/>
        <v>Standard</v>
      </c>
    </row>
    <row r="352" spans="1:13" x14ac:dyDescent="0.3">
      <c r="A352" t="s">
        <v>419</v>
      </c>
      <c r="B352">
        <v>24</v>
      </c>
      <c r="C352">
        <v>26</v>
      </c>
      <c r="D352" t="str">
        <f>IFERROR(VLOOKUP(C352, merchants!$A$2:$D$41, 2, FALSE), "Merchant not found")</f>
        <v>Merchant_026</v>
      </c>
      <c r="E352" t="str">
        <f>IFERROR(VLOOKUP(C352, merchants!$A$2:$D$41, 3, FALSE), "Merchant not found")</f>
        <v>food_delivery</v>
      </c>
      <c r="F352" t="str">
        <f>IFERROR(VLOOKUP(C352, merchants!$A$2:$D$41, 4, FALSE), "Merchant not found")</f>
        <v>East</v>
      </c>
      <c r="G352" s="1">
        <v>46034.515972222223</v>
      </c>
      <c r="H352">
        <v>299</v>
      </c>
      <c r="I352" t="s">
        <v>69</v>
      </c>
      <c r="J352" t="s">
        <v>64</v>
      </c>
      <c r="K352">
        <v>6</v>
      </c>
      <c r="L352">
        <f>IFERROR(HLOOKUP(TRIM(I352), FeeTable!$B$1:$H$2, 2, FALSE) * H352, 0)</f>
        <v>4.4849999999999994</v>
      </c>
      <c r="M352" t="str">
        <f t="shared" si="5"/>
        <v>Standard</v>
      </c>
    </row>
    <row r="353" spans="1:13" x14ac:dyDescent="0.3">
      <c r="A353" t="s">
        <v>420</v>
      </c>
      <c r="B353">
        <v>186</v>
      </c>
      <c r="C353">
        <v>36</v>
      </c>
      <c r="D353" t="str">
        <f>IFERROR(VLOOKUP(C353, merchants!$A$2:$D$41, 2, FALSE), "Merchant not found")</f>
        <v>Merchant_036</v>
      </c>
      <c r="E353" t="str">
        <f>IFERROR(VLOOKUP(C353, merchants!$A$2:$D$41, 3, FALSE), "Merchant not found")</f>
        <v>entertainment</v>
      </c>
      <c r="F353" t="str">
        <f>IFERROR(VLOOKUP(C353, merchants!$A$2:$D$41, 4, FALSE), "Merchant not found")</f>
        <v>East</v>
      </c>
      <c r="G353" s="1">
        <v>46041.716666666667</v>
      </c>
      <c r="H353">
        <v>4999</v>
      </c>
      <c r="I353" t="s">
        <v>66</v>
      </c>
      <c r="J353" t="s">
        <v>64</v>
      </c>
      <c r="K353">
        <v>36</v>
      </c>
      <c r="L353">
        <f>IFERROR(HLOOKUP(TRIM(I353), FeeTable!$B$1:$H$2, 2, FALSE) * H353, 0)</f>
        <v>0</v>
      </c>
      <c r="M353" t="str">
        <f t="shared" si="5"/>
        <v>Standard</v>
      </c>
    </row>
    <row r="354" spans="1:13" x14ac:dyDescent="0.3">
      <c r="A354" t="s">
        <v>421</v>
      </c>
      <c r="B354">
        <v>231</v>
      </c>
      <c r="C354">
        <v>36</v>
      </c>
      <c r="D354" t="str">
        <f>IFERROR(VLOOKUP(C354, merchants!$A$2:$D$41, 2, FALSE), "Merchant not found")</f>
        <v>Merchant_036</v>
      </c>
      <c r="E354" t="str">
        <f>IFERROR(VLOOKUP(C354, merchants!$A$2:$D$41, 3, FALSE), "Merchant not found")</f>
        <v>entertainment</v>
      </c>
      <c r="F354" t="str">
        <f>IFERROR(VLOOKUP(C354, merchants!$A$2:$D$41, 4, FALSE), "Merchant not found")</f>
        <v>East</v>
      </c>
      <c r="G354" s="1">
        <v>46025.522222222222</v>
      </c>
      <c r="H354">
        <v>149</v>
      </c>
      <c r="I354" t="s">
        <v>66</v>
      </c>
      <c r="J354" t="s">
        <v>64</v>
      </c>
      <c r="K354">
        <v>35</v>
      </c>
      <c r="L354">
        <f>IFERROR(HLOOKUP(TRIM(I354), FeeTable!$B$1:$H$2, 2, FALSE) * H354, 0)</f>
        <v>0</v>
      </c>
      <c r="M354" t="str">
        <f t="shared" si="5"/>
        <v>Standard</v>
      </c>
    </row>
    <row r="355" spans="1:13" x14ac:dyDescent="0.3">
      <c r="A355" t="s">
        <v>422</v>
      </c>
      <c r="B355">
        <v>313</v>
      </c>
      <c r="C355">
        <v>8</v>
      </c>
      <c r="D355" t="str">
        <f>IFERROR(VLOOKUP(C355, merchants!$A$2:$D$41, 2, FALSE), "Merchant not found")</f>
        <v>Merchant_008</v>
      </c>
      <c r="E355" t="str">
        <f>IFERROR(VLOOKUP(C355, merchants!$A$2:$D$41, 3, FALSE), "Merchant not found")</f>
        <v>food_delivery</v>
      </c>
      <c r="F355" t="str">
        <f>IFERROR(VLOOKUP(C355, merchants!$A$2:$D$41, 4, FALSE), "Merchant not found")</f>
        <v>North</v>
      </c>
      <c r="G355" s="1">
        <v>46049.821527777778</v>
      </c>
      <c r="H355">
        <v>1499</v>
      </c>
      <c r="I355" t="s">
        <v>69</v>
      </c>
      <c r="J355" t="s">
        <v>64</v>
      </c>
      <c r="K355">
        <v>16</v>
      </c>
      <c r="L355">
        <f>IFERROR(HLOOKUP(TRIM(I355), FeeTable!$B$1:$H$2, 2, FALSE) * H355, 0)</f>
        <v>22.484999999999999</v>
      </c>
      <c r="M355" t="str">
        <f t="shared" si="5"/>
        <v>Standard</v>
      </c>
    </row>
    <row r="356" spans="1:13" x14ac:dyDescent="0.3">
      <c r="A356" t="s">
        <v>423</v>
      </c>
      <c r="B356">
        <v>174</v>
      </c>
      <c r="C356">
        <v>36</v>
      </c>
      <c r="D356" t="str">
        <f>IFERROR(VLOOKUP(C356, merchants!$A$2:$D$41, 2, FALSE), "Merchant not found")</f>
        <v>Merchant_036</v>
      </c>
      <c r="E356" t="str">
        <f>IFERROR(VLOOKUP(C356, merchants!$A$2:$D$41, 3, FALSE), "Merchant not found")</f>
        <v>entertainment</v>
      </c>
      <c r="F356" t="str">
        <f>IFERROR(VLOOKUP(C356, merchants!$A$2:$D$41, 4, FALSE), "Merchant not found")</f>
        <v>East</v>
      </c>
      <c r="G356" s="1">
        <v>46026.515972222223</v>
      </c>
      <c r="H356">
        <v>149</v>
      </c>
      <c r="I356" t="s">
        <v>66</v>
      </c>
      <c r="J356" t="s">
        <v>64</v>
      </c>
      <c r="K356">
        <v>46</v>
      </c>
      <c r="L356">
        <f>IFERROR(HLOOKUP(TRIM(I356), FeeTable!$B$1:$H$2, 2, FALSE) * H356, 0)</f>
        <v>0</v>
      </c>
      <c r="M356" t="str">
        <f t="shared" si="5"/>
        <v>Standard</v>
      </c>
    </row>
    <row r="357" spans="1:13" x14ac:dyDescent="0.3">
      <c r="A357" t="s">
        <v>424</v>
      </c>
      <c r="B357">
        <v>309</v>
      </c>
      <c r="C357">
        <v>33</v>
      </c>
      <c r="D357" t="str">
        <f>IFERROR(VLOOKUP(C357, merchants!$A$2:$D$41, 2, FALSE), "Merchant not found")</f>
        <v>Merchant_033</v>
      </c>
      <c r="E357" t="str">
        <f>IFERROR(VLOOKUP(C357, merchants!$A$2:$D$41, 3, FALSE), "Merchant not found")</f>
        <v>bill_payment</v>
      </c>
      <c r="F357" t="str">
        <f>IFERROR(VLOOKUP(C357, merchants!$A$2:$D$41, 4, FALSE), "Merchant not found")</f>
        <v>East</v>
      </c>
      <c r="G357" s="1">
        <v>46047.175000000003</v>
      </c>
      <c r="H357">
        <v>99</v>
      </c>
      <c r="I357" t="s">
        <v>66</v>
      </c>
      <c r="J357" t="s">
        <v>64</v>
      </c>
      <c r="K357">
        <v>51</v>
      </c>
      <c r="L357">
        <f>IFERROR(HLOOKUP(TRIM(I357), FeeTable!$B$1:$H$2, 2, FALSE) * H357, 0)</f>
        <v>0</v>
      </c>
      <c r="M357" t="str">
        <f t="shared" si="5"/>
        <v>Standard</v>
      </c>
    </row>
    <row r="358" spans="1:13" x14ac:dyDescent="0.3">
      <c r="A358" t="s">
        <v>425</v>
      </c>
      <c r="B358">
        <v>20</v>
      </c>
      <c r="C358">
        <v>9</v>
      </c>
      <c r="D358" t="str">
        <f>IFERROR(VLOOKUP(C358, merchants!$A$2:$D$41, 2, FALSE), "Merchant not found")</f>
        <v>Merchant_009</v>
      </c>
      <c r="E358" t="str">
        <f>IFERROR(VLOOKUP(C358, merchants!$A$2:$D$41, 3, FALSE), "Merchant not found")</f>
        <v>ecommerce</v>
      </c>
      <c r="F358" t="str">
        <f>IFERROR(VLOOKUP(C358, merchants!$A$2:$D$41, 4, FALSE), "Merchant not found")</f>
        <v>North</v>
      </c>
      <c r="G358" s="1">
        <v>46039.043055555558</v>
      </c>
      <c r="H358">
        <v>99</v>
      </c>
      <c r="I358" t="s">
        <v>66</v>
      </c>
      <c r="J358" t="s">
        <v>64</v>
      </c>
      <c r="K358">
        <v>91</v>
      </c>
      <c r="L358">
        <f>IFERROR(HLOOKUP(TRIM(I358), FeeTable!$B$1:$H$2, 2, FALSE) * H358, 0)</f>
        <v>0</v>
      </c>
      <c r="M358" t="str">
        <f t="shared" si="5"/>
        <v>Standard</v>
      </c>
    </row>
    <row r="359" spans="1:13" x14ac:dyDescent="0.3">
      <c r="A359" t="s">
        <v>426</v>
      </c>
      <c r="B359">
        <v>234</v>
      </c>
      <c r="C359">
        <v>10</v>
      </c>
      <c r="D359" t="str">
        <f>IFERROR(VLOOKUP(C359, merchants!$A$2:$D$41, 2, FALSE), "Merchant not found")</f>
        <v>Merchant_010</v>
      </c>
      <c r="E359" t="str">
        <f>IFERROR(VLOOKUP(C359, merchants!$A$2:$D$41, 3, FALSE), "Merchant not found")</f>
        <v>grocery</v>
      </c>
      <c r="F359" t="str">
        <f>IFERROR(VLOOKUP(C359, merchants!$A$2:$D$41, 4, FALSE), "Merchant not found")</f>
        <v>West</v>
      </c>
      <c r="G359" s="1">
        <v>46033.647916666669</v>
      </c>
      <c r="H359">
        <v>49</v>
      </c>
      <c r="I359" t="s">
        <v>66</v>
      </c>
      <c r="J359" t="s">
        <v>64</v>
      </c>
      <c r="K359">
        <v>77</v>
      </c>
      <c r="L359">
        <f>IFERROR(HLOOKUP(TRIM(I359), FeeTable!$B$1:$H$2, 2, FALSE) * H359, 0)</f>
        <v>0</v>
      </c>
      <c r="M359" t="str">
        <f t="shared" si="5"/>
        <v>Standard</v>
      </c>
    </row>
    <row r="360" spans="1:13" x14ac:dyDescent="0.3">
      <c r="A360" t="s">
        <v>427</v>
      </c>
      <c r="B360">
        <v>168</v>
      </c>
      <c r="C360">
        <v>40</v>
      </c>
      <c r="D360" t="str">
        <f>IFERROR(VLOOKUP(C360, merchants!$A$2:$D$41, 2, FALSE), "Merchant not found")</f>
        <v>Merchant_040</v>
      </c>
      <c r="E360" t="str">
        <f>IFERROR(VLOOKUP(C360, merchants!$A$2:$D$41, 3, FALSE), "Merchant not found")</f>
        <v>entertainment</v>
      </c>
      <c r="F360" t="str">
        <f>IFERROR(VLOOKUP(C360, merchants!$A$2:$D$41, 4, FALSE), "Merchant not found")</f>
        <v>South</v>
      </c>
      <c r="G360" s="1">
        <v>46051.672222222223</v>
      </c>
      <c r="H360">
        <v>149</v>
      </c>
      <c r="I360" t="s">
        <v>66</v>
      </c>
      <c r="J360" t="s">
        <v>92</v>
      </c>
      <c r="K360">
        <v>40</v>
      </c>
      <c r="L360">
        <f>IFERROR(HLOOKUP(TRIM(I360), FeeTable!$B$1:$H$2, 2, FALSE) * H360, 0)</f>
        <v>0</v>
      </c>
      <c r="M360" t="str">
        <f t="shared" si="5"/>
        <v>Standard</v>
      </c>
    </row>
    <row r="361" spans="1:13" x14ac:dyDescent="0.3">
      <c r="A361" t="s">
        <v>428</v>
      </c>
      <c r="B361">
        <v>154</v>
      </c>
      <c r="C361">
        <v>38</v>
      </c>
      <c r="D361" t="str">
        <f>IFERROR(VLOOKUP(C361, merchants!$A$2:$D$41, 2, FALSE), "Merchant not found")</f>
        <v>Merchant_038</v>
      </c>
      <c r="E361" t="str">
        <f>IFERROR(VLOOKUP(C361, merchants!$A$2:$D$41, 3, FALSE), "Merchant not found")</f>
        <v>grocery</v>
      </c>
      <c r="F361" t="str">
        <f>IFERROR(VLOOKUP(C361, merchants!$A$2:$D$41, 4, FALSE), "Merchant not found")</f>
        <v>East</v>
      </c>
      <c r="G361" s="1">
        <v>46028.527083333334</v>
      </c>
      <c r="H361">
        <v>99</v>
      </c>
      <c r="I361" t="s">
        <v>69</v>
      </c>
      <c r="J361" t="s">
        <v>64</v>
      </c>
      <c r="K361">
        <v>43</v>
      </c>
      <c r="L361">
        <f>IFERROR(HLOOKUP(TRIM(I361), FeeTable!$B$1:$H$2, 2, FALSE) * H361, 0)</f>
        <v>1.4849999999999999</v>
      </c>
      <c r="M361" t="str">
        <f t="shared" si="5"/>
        <v>Standard</v>
      </c>
    </row>
    <row r="362" spans="1:13" x14ac:dyDescent="0.3">
      <c r="A362" t="s">
        <v>429</v>
      </c>
      <c r="B362">
        <v>251</v>
      </c>
      <c r="C362">
        <v>37</v>
      </c>
      <c r="D362" t="str">
        <f>IFERROR(VLOOKUP(C362, merchants!$A$2:$D$41, 2, FALSE), "Merchant not found")</f>
        <v>Merchant_037</v>
      </c>
      <c r="E362" t="str">
        <f>IFERROR(VLOOKUP(C362, merchants!$A$2:$D$41, 3, FALSE), "Merchant not found")</f>
        <v>entertainment</v>
      </c>
      <c r="F362" t="str">
        <f>IFERROR(VLOOKUP(C362, merchants!$A$2:$D$41, 4, FALSE), "Merchant not found")</f>
        <v>South</v>
      </c>
      <c r="G362" s="1">
        <v>46039.69027777778</v>
      </c>
      <c r="H362">
        <v>49</v>
      </c>
      <c r="I362" t="s">
        <v>66</v>
      </c>
      <c r="J362" t="s">
        <v>64</v>
      </c>
      <c r="K362">
        <v>38</v>
      </c>
      <c r="L362">
        <f>IFERROR(HLOOKUP(TRIM(I362), FeeTable!$B$1:$H$2, 2, FALSE) * H362, 0)</f>
        <v>0</v>
      </c>
      <c r="M362" t="str">
        <f t="shared" si="5"/>
        <v>Standard</v>
      </c>
    </row>
    <row r="363" spans="1:13" x14ac:dyDescent="0.3">
      <c r="A363" t="s">
        <v>430</v>
      </c>
      <c r="B363">
        <v>170</v>
      </c>
      <c r="C363">
        <v>8</v>
      </c>
      <c r="D363" t="str">
        <f>IFERROR(VLOOKUP(C363, merchants!$A$2:$D$41, 2, FALSE), "Merchant not found")</f>
        <v>Merchant_008</v>
      </c>
      <c r="E363" t="str">
        <f>IFERROR(VLOOKUP(C363, merchants!$A$2:$D$41, 3, FALSE), "Merchant not found")</f>
        <v>food_delivery</v>
      </c>
      <c r="F363" t="str">
        <f>IFERROR(VLOOKUP(C363, merchants!$A$2:$D$41, 4, FALSE), "Merchant not found")</f>
        <v>North</v>
      </c>
      <c r="G363" s="1">
        <v>46038.015972222223</v>
      </c>
      <c r="H363">
        <v>2999</v>
      </c>
      <c r="I363" t="s">
        <v>66</v>
      </c>
      <c r="J363" t="s">
        <v>64</v>
      </c>
      <c r="K363">
        <v>53</v>
      </c>
      <c r="L363">
        <f>IFERROR(HLOOKUP(TRIM(I363), FeeTable!$B$1:$H$2, 2, FALSE) * H363, 0)</f>
        <v>0</v>
      </c>
      <c r="M363" t="str">
        <f t="shared" si="5"/>
        <v>Standard</v>
      </c>
    </row>
    <row r="364" spans="1:13" x14ac:dyDescent="0.3">
      <c r="A364" t="s">
        <v>431</v>
      </c>
      <c r="B364">
        <v>323</v>
      </c>
      <c r="C364">
        <v>2</v>
      </c>
      <c r="D364" t="str">
        <f>IFERROR(VLOOKUP(C364, merchants!$A$2:$D$41, 2, FALSE), "Merchant not found")</f>
        <v>Merchant_002</v>
      </c>
      <c r="E364" t="str">
        <f>IFERROR(VLOOKUP(C364, merchants!$A$2:$D$41, 3, FALSE), "Merchant not found")</f>
        <v>grocery</v>
      </c>
      <c r="F364" t="str">
        <f>IFERROR(VLOOKUP(C364, merchants!$A$2:$D$41, 4, FALSE), "Merchant not found")</f>
        <v>West</v>
      </c>
      <c r="G364" s="1">
        <v>46041.409722222219</v>
      </c>
      <c r="H364">
        <v>49</v>
      </c>
      <c r="I364" t="s">
        <v>69</v>
      </c>
      <c r="J364" t="s">
        <v>64</v>
      </c>
      <c r="K364">
        <v>76</v>
      </c>
      <c r="L364">
        <f>IFERROR(HLOOKUP(TRIM(I364), FeeTable!$B$1:$H$2, 2, FALSE) * H364, 0)</f>
        <v>0.73499999999999999</v>
      </c>
      <c r="M364" t="str">
        <f t="shared" si="5"/>
        <v>Standard</v>
      </c>
    </row>
    <row r="365" spans="1:13" x14ac:dyDescent="0.3">
      <c r="A365" t="s">
        <v>432</v>
      </c>
      <c r="B365">
        <v>297</v>
      </c>
      <c r="C365">
        <v>37</v>
      </c>
      <c r="D365" t="str">
        <f>IFERROR(VLOOKUP(C365, merchants!$A$2:$D$41, 2, FALSE), "Merchant not found")</f>
        <v>Merchant_037</v>
      </c>
      <c r="E365" t="str">
        <f>IFERROR(VLOOKUP(C365, merchants!$A$2:$D$41, 3, FALSE), "Merchant not found")</f>
        <v>entertainment</v>
      </c>
      <c r="F365" t="str">
        <f>IFERROR(VLOOKUP(C365, merchants!$A$2:$D$41, 4, FALSE), "Merchant not found")</f>
        <v>South</v>
      </c>
      <c r="G365" s="1">
        <v>46038.361805555556</v>
      </c>
      <c r="H365">
        <v>2999</v>
      </c>
      <c r="I365" t="s">
        <v>63</v>
      </c>
      <c r="J365" t="s">
        <v>64</v>
      </c>
      <c r="K365">
        <v>29</v>
      </c>
      <c r="L365">
        <f>IFERROR(HLOOKUP(TRIM(I365), FeeTable!$B$1:$H$2, 2, FALSE) * H365, 0)</f>
        <v>32.988999999999997</v>
      </c>
      <c r="M365" t="str">
        <f t="shared" si="5"/>
        <v>Standard</v>
      </c>
    </row>
    <row r="366" spans="1:13" x14ac:dyDescent="0.3">
      <c r="A366" t="s">
        <v>433</v>
      </c>
      <c r="B366">
        <v>246</v>
      </c>
      <c r="C366">
        <v>11</v>
      </c>
      <c r="D366" t="str">
        <f>IFERROR(VLOOKUP(C366, merchants!$A$2:$D$41, 2, FALSE), "Merchant not found")</f>
        <v>Merchant_011</v>
      </c>
      <c r="E366" t="str">
        <f>IFERROR(VLOOKUP(C366, merchants!$A$2:$D$41, 3, FALSE), "Merchant not found")</f>
        <v>ecommerce</v>
      </c>
      <c r="F366" t="str">
        <f>IFERROR(VLOOKUP(C366, merchants!$A$2:$D$41, 4, FALSE), "Merchant not found")</f>
        <v>North</v>
      </c>
      <c r="G366" s="1">
        <v>46046.067361111112</v>
      </c>
      <c r="H366">
        <v>299</v>
      </c>
      <c r="I366" t="s">
        <v>66</v>
      </c>
      <c r="J366" t="s">
        <v>64</v>
      </c>
      <c r="K366">
        <v>67</v>
      </c>
      <c r="L366">
        <f>IFERROR(HLOOKUP(TRIM(I366), FeeTable!$B$1:$H$2, 2, FALSE) * H366, 0)</f>
        <v>0</v>
      </c>
      <c r="M366" t="str">
        <f t="shared" si="5"/>
        <v>Standard</v>
      </c>
    </row>
    <row r="367" spans="1:13" x14ac:dyDescent="0.3">
      <c r="A367" t="s">
        <v>434</v>
      </c>
      <c r="B367">
        <v>195</v>
      </c>
      <c r="C367">
        <v>10</v>
      </c>
      <c r="D367" t="str">
        <f>IFERROR(VLOOKUP(C367, merchants!$A$2:$D$41, 2, FALSE), "Merchant not found")</f>
        <v>Merchant_010</v>
      </c>
      <c r="E367" t="str">
        <f>IFERROR(VLOOKUP(C367, merchants!$A$2:$D$41, 3, FALSE), "Merchant not found")</f>
        <v>grocery</v>
      </c>
      <c r="F367" t="str">
        <f>IFERROR(VLOOKUP(C367, merchants!$A$2:$D$41, 4, FALSE), "Merchant not found")</f>
        <v>West</v>
      </c>
      <c r="G367" s="1">
        <v>46043.98541666667</v>
      </c>
      <c r="H367">
        <v>99</v>
      </c>
      <c r="I367" t="s">
        <v>66</v>
      </c>
      <c r="J367" t="s">
        <v>64</v>
      </c>
      <c r="K367">
        <v>87</v>
      </c>
      <c r="L367">
        <f>IFERROR(HLOOKUP(TRIM(I367), FeeTable!$B$1:$H$2, 2, FALSE) * H367, 0)</f>
        <v>0</v>
      </c>
      <c r="M367" t="str">
        <f t="shared" si="5"/>
        <v>Standard</v>
      </c>
    </row>
    <row r="368" spans="1:13" x14ac:dyDescent="0.3">
      <c r="A368" t="s">
        <v>435</v>
      </c>
      <c r="B368">
        <v>57</v>
      </c>
      <c r="C368">
        <v>13</v>
      </c>
      <c r="D368" t="str">
        <f>IFERROR(VLOOKUP(C368, merchants!$A$2:$D$41, 2, FALSE), "Merchant not found")</f>
        <v>Merchant_013</v>
      </c>
      <c r="E368" t="str">
        <f>IFERROR(VLOOKUP(C368, merchants!$A$2:$D$41, 3, FALSE), "Merchant not found")</f>
        <v>travel</v>
      </c>
      <c r="F368" t="str">
        <f>IFERROR(VLOOKUP(C368, merchants!$A$2:$D$41, 4, FALSE), "Merchant not found")</f>
        <v>East</v>
      </c>
      <c r="G368" s="1">
        <v>46030.066666666666</v>
      </c>
      <c r="H368">
        <v>149</v>
      </c>
      <c r="I368" t="s">
        <v>66</v>
      </c>
      <c r="J368" t="s">
        <v>64</v>
      </c>
      <c r="K368">
        <v>2</v>
      </c>
      <c r="L368">
        <f>IFERROR(HLOOKUP(TRIM(I368), FeeTable!$B$1:$H$2, 2, FALSE) * H368, 0)</f>
        <v>0</v>
      </c>
      <c r="M368" t="str">
        <f t="shared" si="5"/>
        <v>Standard</v>
      </c>
    </row>
    <row r="369" spans="1:13" x14ac:dyDescent="0.3">
      <c r="A369" t="s">
        <v>436</v>
      </c>
      <c r="B369">
        <v>78</v>
      </c>
      <c r="C369">
        <v>27</v>
      </c>
      <c r="D369" t="str">
        <f>IFERROR(VLOOKUP(C369, merchants!$A$2:$D$41, 2, FALSE), "Merchant not found")</f>
        <v>Merchant_027</v>
      </c>
      <c r="E369" t="str">
        <f>IFERROR(VLOOKUP(C369, merchants!$A$2:$D$41, 3, FALSE), "Merchant not found")</f>
        <v>ecommerce</v>
      </c>
      <c r="F369" t="str">
        <f>IFERROR(VLOOKUP(C369, merchants!$A$2:$D$41, 4, FALSE), "Merchant not found")</f>
        <v>North</v>
      </c>
      <c r="G369" s="1">
        <v>46037.43472222222</v>
      </c>
      <c r="H369">
        <v>1499</v>
      </c>
      <c r="I369" t="s">
        <v>69</v>
      </c>
      <c r="J369" t="s">
        <v>79</v>
      </c>
      <c r="K369">
        <v>88</v>
      </c>
      <c r="L369">
        <f>IFERROR(HLOOKUP(TRIM(I369), FeeTable!$B$1:$H$2, 2, FALSE) * H369, 0)</f>
        <v>22.484999999999999</v>
      </c>
      <c r="M369" t="str">
        <f t="shared" si="5"/>
        <v>Standard</v>
      </c>
    </row>
    <row r="370" spans="1:13" x14ac:dyDescent="0.3">
      <c r="A370" t="s">
        <v>437</v>
      </c>
      <c r="B370">
        <v>314</v>
      </c>
      <c r="C370">
        <v>31</v>
      </c>
      <c r="D370" t="str">
        <f>IFERROR(VLOOKUP(C370, merchants!$A$2:$D$41, 2, FALSE), "Merchant not found")</f>
        <v>Merchant_031</v>
      </c>
      <c r="E370" t="str">
        <f>IFERROR(VLOOKUP(C370, merchants!$A$2:$D$41, 3, FALSE), "Merchant not found")</f>
        <v>bill_payment</v>
      </c>
      <c r="F370" t="str">
        <f>IFERROR(VLOOKUP(C370, merchants!$A$2:$D$41, 4, FALSE), "Merchant not found")</f>
        <v>East</v>
      </c>
      <c r="G370" s="1">
        <v>46029.563888888886</v>
      </c>
      <c r="H370">
        <v>49</v>
      </c>
      <c r="I370" t="s">
        <v>66</v>
      </c>
      <c r="J370" t="s">
        <v>92</v>
      </c>
      <c r="K370">
        <v>94</v>
      </c>
      <c r="L370">
        <f>IFERROR(HLOOKUP(TRIM(I370), FeeTable!$B$1:$H$2, 2, FALSE) * H370, 0)</f>
        <v>0</v>
      </c>
      <c r="M370" t="str">
        <f t="shared" si="5"/>
        <v>Standard</v>
      </c>
    </row>
    <row r="371" spans="1:13" x14ac:dyDescent="0.3">
      <c r="A371" t="s">
        <v>438</v>
      </c>
      <c r="B371">
        <v>71</v>
      </c>
      <c r="C371">
        <v>34</v>
      </c>
      <c r="D371" t="str">
        <f>IFERROR(VLOOKUP(C371, merchants!$A$2:$D$41, 2, FALSE), "Merchant not found")</f>
        <v>Merchant_034</v>
      </c>
      <c r="E371" t="str">
        <f>IFERROR(VLOOKUP(C371, merchants!$A$2:$D$41, 3, FALSE), "Merchant not found")</f>
        <v>travel</v>
      </c>
      <c r="F371" t="str">
        <f>IFERROR(VLOOKUP(C371, merchants!$A$2:$D$41, 4, FALSE), "Merchant not found")</f>
        <v>South</v>
      </c>
      <c r="G371" s="1">
        <v>46046.072916666664</v>
      </c>
      <c r="H371">
        <v>499</v>
      </c>
      <c r="I371" t="s">
        <v>66</v>
      </c>
      <c r="J371" t="s">
        <v>64</v>
      </c>
      <c r="K371">
        <v>26</v>
      </c>
      <c r="L371">
        <f>IFERROR(HLOOKUP(TRIM(I371), FeeTable!$B$1:$H$2, 2, FALSE) * H371, 0)</f>
        <v>0</v>
      </c>
      <c r="M371" t="str">
        <f t="shared" si="5"/>
        <v>Standard</v>
      </c>
    </row>
    <row r="372" spans="1:13" x14ac:dyDescent="0.3">
      <c r="A372" t="s">
        <v>439</v>
      </c>
      <c r="B372">
        <v>245</v>
      </c>
      <c r="C372">
        <v>34</v>
      </c>
      <c r="D372" t="str">
        <f>IFERROR(VLOOKUP(C372, merchants!$A$2:$D$41, 2, FALSE), "Merchant not found")</f>
        <v>Merchant_034</v>
      </c>
      <c r="E372" t="str">
        <f>IFERROR(VLOOKUP(C372, merchants!$A$2:$D$41, 3, FALSE), "Merchant not found")</f>
        <v>travel</v>
      </c>
      <c r="F372" t="str">
        <f>IFERROR(VLOOKUP(C372, merchants!$A$2:$D$41, 4, FALSE), "Merchant not found")</f>
        <v>South</v>
      </c>
      <c r="G372" s="1">
        <v>46040.445833333331</v>
      </c>
      <c r="H372">
        <v>99</v>
      </c>
      <c r="I372" t="s">
        <v>66</v>
      </c>
      <c r="J372" t="s">
        <v>64</v>
      </c>
      <c r="K372">
        <v>48</v>
      </c>
      <c r="L372">
        <f>IFERROR(HLOOKUP(TRIM(I372), FeeTable!$B$1:$H$2, 2, FALSE) * H372, 0)</f>
        <v>0</v>
      </c>
      <c r="M372" t="str">
        <f t="shared" si="5"/>
        <v>Standard</v>
      </c>
    </row>
    <row r="373" spans="1:13" x14ac:dyDescent="0.3">
      <c r="A373" t="s">
        <v>440</v>
      </c>
      <c r="B373">
        <v>273</v>
      </c>
      <c r="C373">
        <v>22</v>
      </c>
      <c r="D373" t="str">
        <f>IFERROR(VLOOKUP(C373, merchants!$A$2:$D$41, 2, FALSE), "Merchant not found")</f>
        <v>Merchant_022</v>
      </c>
      <c r="E373" t="str">
        <f>IFERROR(VLOOKUP(C373, merchants!$A$2:$D$41, 3, FALSE), "Merchant not found")</f>
        <v>travel</v>
      </c>
      <c r="F373" t="str">
        <f>IFERROR(VLOOKUP(C373, merchants!$A$2:$D$41, 4, FALSE), "Merchant not found")</f>
        <v>South</v>
      </c>
      <c r="G373" s="1">
        <v>46033.228472222225</v>
      </c>
      <c r="H373">
        <v>299</v>
      </c>
      <c r="I373" t="s">
        <v>63</v>
      </c>
      <c r="J373" t="s">
        <v>64</v>
      </c>
      <c r="K373">
        <v>69</v>
      </c>
      <c r="L373">
        <f>IFERROR(HLOOKUP(TRIM(I373), FeeTable!$B$1:$H$2, 2, FALSE) * H373, 0)</f>
        <v>3.2889999999999997</v>
      </c>
      <c r="M373" t="str">
        <f t="shared" si="5"/>
        <v>Standard</v>
      </c>
    </row>
    <row r="374" spans="1:13" x14ac:dyDescent="0.3">
      <c r="A374" t="s">
        <v>441</v>
      </c>
      <c r="B374">
        <v>349</v>
      </c>
      <c r="C374">
        <v>17</v>
      </c>
      <c r="D374" t="str">
        <f>IFERROR(VLOOKUP(C374, merchants!$A$2:$D$41, 2, FALSE), "Merchant not found")</f>
        <v>Merchant_017</v>
      </c>
      <c r="E374" t="str">
        <f>IFERROR(VLOOKUP(C374, merchants!$A$2:$D$41, 3, FALSE), "Merchant not found")</f>
        <v>grocery</v>
      </c>
      <c r="F374" t="str">
        <f>IFERROR(VLOOKUP(C374, merchants!$A$2:$D$41, 4, FALSE), "Merchant not found")</f>
        <v>North</v>
      </c>
      <c r="G374" s="1">
        <v>46034.90902777778</v>
      </c>
      <c r="H374">
        <v>1499</v>
      </c>
      <c r="I374" t="s">
        <v>66</v>
      </c>
      <c r="J374" t="s">
        <v>64</v>
      </c>
      <c r="K374">
        <v>78</v>
      </c>
      <c r="L374">
        <f>IFERROR(HLOOKUP(TRIM(I374), FeeTable!$B$1:$H$2, 2, FALSE) * H374, 0)</f>
        <v>0</v>
      </c>
      <c r="M374" t="str">
        <f t="shared" si="5"/>
        <v>Standard</v>
      </c>
    </row>
    <row r="375" spans="1:13" x14ac:dyDescent="0.3">
      <c r="A375" t="s">
        <v>442</v>
      </c>
      <c r="B375">
        <v>143</v>
      </c>
      <c r="C375">
        <v>36</v>
      </c>
      <c r="D375" t="str">
        <f>IFERROR(VLOOKUP(C375, merchants!$A$2:$D$41, 2, FALSE), "Merchant not found")</f>
        <v>Merchant_036</v>
      </c>
      <c r="E375" t="str">
        <f>IFERROR(VLOOKUP(C375, merchants!$A$2:$D$41, 3, FALSE), "Merchant not found")</f>
        <v>entertainment</v>
      </c>
      <c r="F375" t="str">
        <f>IFERROR(VLOOKUP(C375, merchants!$A$2:$D$41, 4, FALSE), "Merchant not found")</f>
        <v>East</v>
      </c>
      <c r="G375" s="1">
        <v>46038.260416666664</v>
      </c>
      <c r="H375">
        <v>1499</v>
      </c>
      <c r="I375" t="s">
        <v>69</v>
      </c>
      <c r="J375" t="s">
        <v>64</v>
      </c>
      <c r="K375">
        <v>38</v>
      </c>
      <c r="L375">
        <f>IFERROR(HLOOKUP(TRIM(I375), FeeTable!$B$1:$H$2, 2, FALSE) * H375, 0)</f>
        <v>22.484999999999999</v>
      </c>
      <c r="M375" t="str">
        <f t="shared" si="5"/>
        <v>Standard</v>
      </c>
    </row>
    <row r="376" spans="1:13" x14ac:dyDescent="0.3">
      <c r="A376" t="s">
        <v>443</v>
      </c>
      <c r="B376">
        <v>148</v>
      </c>
      <c r="C376">
        <v>14</v>
      </c>
      <c r="D376" t="str">
        <f>IFERROR(VLOOKUP(C376, merchants!$A$2:$D$41, 2, FALSE), "Merchant not found")</f>
        <v>Merchant_014</v>
      </c>
      <c r="E376" t="str">
        <f>IFERROR(VLOOKUP(C376, merchants!$A$2:$D$41, 3, FALSE), "Merchant not found")</f>
        <v>grocery</v>
      </c>
      <c r="F376" t="str">
        <f>IFERROR(VLOOKUP(C376, merchants!$A$2:$D$41, 4, FALSE), "Merchant not found")</f>
        <v>East</v>
      </c>
      <c r="G376" s="1">
        <v>46030.40902777778</v>
      </c>
      <c r="H376">
        <v>799</v>
      </c>
      <c r="I376" t="s">
        <v>63</v>
      </c>
      <c r="J376" t="s">
        <v>64</v>
      </c>
      <c r="K376">
        <v>88</v>
      </c>
      <c r="L376">
        <f>IFERROR(HLOOKUP(TRIM(I376), FeeTable!$B$1:$H$2, 2, FALSE) * H376, 0)</f>
        <v>8.7889999999999997</v>
      </c>
      <c r="M376" t="str">
        <f t="shared" si="5"/>
        <v>Standard</v>
      </c>
    </row>
    <row r="377" spans="1:13" x14ac:dyDescent="0.3">
      <c r="A377" t="s">
        <v>444</v>
      </c>
      <c r="B377">
        <v>246</v>
      </c>
      <c r="C377">
        <v>23</v>
      </c>
      <c r="D377" t="str">
        <f>IFERROR(VLOOKUP(C377, merchants!$A$2:$D$41, 2, FALSE), "Merchant not found")</f>
        <v>Merchant_023</v>
      </c>
      <c r="E377" t="str">
        <f>IFERROR(VLOOKUP(C377, merchants!$A$2:$D$41, 3, FALSE), "Merchant not found")</f>
        <v>travel</v>
      </c>
      <c r="F377" t="str">
        <f>IFERROR(VLOOKUP(C377, merchants!$A$2:$D$41, 4, FALSE), "Merchant not found")</f>
        <v>North</v>
      </c>
      <c r="G377" s="1">
        <v>46045.638888888891</v>
      </c>
      <c r="H377">
        <v>49</v>
      </c>
      <c r="I377" t="s">
        <v>66</v>
      </c>
      <c r="J377" t="s">
        <v>64</v>
      </c>
      <c r="K377">
        <v>71</v>
      </c>
      <c r="L377">
        <f>IFERROR(HLOOKUP(TRIM(I377), FeeTable!$B$1:$H$2, 2, FALSE) * H377, 0)</f>
        <v>0</v>
      </c>
      <c r="M377" t="str">
        <f t="shared" si="5"/>
        <v>Standard</v>
      </c>
    </row>
    <row r="378" spans="1:13" x14ac:dyDescent="0.3">
      <c r="A378" t="s">
        <v>445</v>
      </c>
      <c r="B378">
        <v>148</v>
      </c>
      <c r="C378">
        <v>8</v>
      </c>
      <c r="D378" t="str">
        <f>IFERROR(VLOOKUP(C378, merchants!$A$2:$D$41, 2, FALSE), "Merchant not found")</f>
        <v>Merchant_008</v>
      </c>
      <c r="E378" t="str">
        <f>IFERROR(VLOOKUP(C378, merchants!$A$2:$D$41, 3, FALSE), "Merchant not found")</f>
        <v>food_delivery</v>
      </c>
      <c r="F378" t="str">
        <f>IFERROR(VLOOKUP(C378, merchants!$A$2:$D$41, 4, FALSE), "Merchant not found")</f>
        <v>North</v>
      </c>
      <c r="G378" s="1">
        <v>46052.970138888886</v>
      </c>
      <c r="H378">
        <v>99</v>
      </c>
      <c r="I378" t="s">
        <v>63</v>
      </c>
      <c r="J378" t="s">
        <v>64</v>
      </c>
      <c r="K378">
        <v>73</v>
      </c>
      <c r="L378">
        <f>IFERROR(HLOOKUP(TRIM(I378), FeeTable!$B$1:$H$2, 2, FALSE) * H378, 0)</f>
        <v>1.089</v>
      </c>
      <c r="M378" t="str">
        <f t="shared" si="5"/>
        <v>Standard</v>
      </c>
    </row>
    <row r="379" spans="1:13" x14ac:dyDescent="0.3">
      <c r="A379" t="s">
        <v>446</v>
      </c>
      <c r="B379">
        <v>203</v>
      </c>
      <c r="C379">
        <v>23</v>
      </c>
      <c r="D379" t="str">
        <f>IFERROR(VLOOKUP(C379, merchants!$A$2:$D$41, 2, FALSE), "Merchant not found")</f>
        <v>Merchant_023</v>
      </c>
      <c r="E379" t="str">
        <f>IFERROR(VLOOKUP(C379, merchants!$A$2:$D$41, 3, FALSE), "Merchant not found")</f>
        <v>travel</v>
      </c>
      <c r="F379" t="str">
        <f>IFERROR(VLOOKUP(C379, merchants!$A$2:$D$41, 4, FALSE), "Merchant not found")</f>
        <v>North</v>
      </c>
      <c r="G379" s="1">
        <v>46044.724999999999</v>
      </c>
      <c r="H379">
        <v>49</v>
      </c>
      <c r="I379" t="s">
        <v>66</v>
      </c>
      <c r="J379" t="s">
        <v>64</v>
      </c>
      <c r="K379">
        <v>98</v>
      </c>
      <c r="L379">
        <f>IFERROR(HLOOKUP(TRIM(I379), FeeTable!$B$1:$H$2, 2, FALSE) * H379, 0)</f>
        <v>0</v>
      </c>
      <c r="M379" t="str">
        <f t="shared" si="5"/>
        <v>Standard</v>
      </c>
    </row>
    <row r="380" spans="1:13" x14ac:dyDescent="0.3">
      <c r="A380" t="s">
        <v>447</v>
      </c>
      <c r="B380">
        <v>22</v>
      </c>
      <c r="C380">
        <v>19</v>
      </c>
      <c r="D380" t="str">
        <f>IFERROR(VLOOKUP(C380, merchants!$A$2:$D$41, 2, FALSE), "Merchant not found")</f>
        <v>Merchant_019</v>
      </c>
      <c r="E380" t="str">
        <f>IFERROR(VLOOKUP(C380, merchants!$A$2:$D$41, 3, FALSE), "Merchant not found")</f>
        <v>grocery</v>
      </c>
      <c r="F380" t="str">
        <f>IFERROR(VLOOKUP(C380, merchants!$A$2:$D$41, 4, FALSE), "Merchant not found")</f>
        <v>North</v>
      </c>
      <c r="G380" s="1">
        <v>46048.179166666669</v>
      </c>
      <c r="H380">
        <v>49</v>
      </c>
      <c r="I380" t="s">
        <v>78</v>
      </c>
      <c r="J380" t="s">
        <v>64</v>
      </c>
      <c r="K380">
        <v>91</v>
      </c>
      <c r="L380">
        <f>IFERROR(HLOOKUP(TRIM(I380), FeeTable!$B$1:$H$2, 2, FALSE) * H380, 0)</f>
        <v>0.8819999999999999</v>
      </c>
      <c r="M380" t="str">
        <f t="shared" si="5"/>
        <v>Standard</v>
      </c>
    </row>
    <row r="381" spans="1:13" x14ac:dyDescent="0.3">
      <c r="A381" t="s">
        <v>448</v>
      </c>
      <c r="B381">
        <v>227</v>
      </c>
      <c r="C381">
        <v>17</v>
      </c>
      <c r="D381" t="str">
        <f>IFERROR(VLOOKUP(C381, merchants!$A$2:$D$41, 2, FALSE), "Merchant not found")</f>
        <v>Merchant_017</v>
      </c>
      <c r="E381" t="str">
        <f>IFERROR(VLOOKUP(C381, merchants!$A$2:$D$41, 3, FALSE), "Merchant not found")</f>
        <v>grocery</v>
      </c>
      <c r="F381" t="str">
        <f>IFERROR(VLOOKUP(C381, merchants!$A$2:$D$41, 4, FALSE), "Merchant not found")</f>
        <v>North</v>
      </c>
      <c r="G381" s="1">
        <v>46025.499305555553</v>
      </c>
      <c r="H381">
        <v>299</v>
      </c>
      <c r="I381" t="s">
        <v>63</v>
      </c>
      <c r="J381" t="s">
        <v>64</v>
      </c>
      <c r="K381">
        <v>95</v>
      </c>
      <c r="L381">
        <f>IFERROR(HLOOKUP(TRIM(I381), FeeTable!$B$1:$H$2, 2, FALSE) * H381, 0)</f>
        <v>3.2889999999999997</v>
      </c>
      <c r="M381" t="str">
        <f t="shared" si="5"/>
        <v>Standard</v>
      </c>
    </row>
    <row r="382" spans="1:13" x14ac:dyDescent="0.3">
      <c r="A382" t="s">
        <v>449</v>
      </c>
      <c r="B382">
        <v>276</v>
      </c>
      <c r="C382">
        <v>18</v>
      </c>
      <c r="D382" t="str">
        <f>IFERROR(VLOOKUP(C382, merchants!$A$2:$D$41, 2, FALSE), "Merchant not found")</f>
        <v>Merchant_018</v>
      </c>
      <c r="E382" t="str">
        <f>IFERROR(VLOOKUP(C382, merchants!$A$2:$D$41, 3, FALSE), "Merchant not found")</f>
        <v>grocery</v>
      </c>
      <c r="F382" t="str">
        <f>IFERROR(VLOOKUP(C382, merchants!$A$2:$D$41, 4, FALSE), "Merchant not found")</f>
        <v>West</v>
      </c>
      <c r="G382" s="1">
        <v>46038.258333333331</v>
      </c>
      <c r="H382">
        <v>149</v>
      </c>
      <c r="I382" t="s">
        <v>63</v>
      </c>
      <c r="J382" t="s">
        <v>64</v>
      </c>
      <c r="K382">
        <v>71</v>
      </c>
      <c r="L382">
        <f>IFERROR(HLOOKUP(TRIM(I382), FeeTable!$B$1:$H$2, 2, FALSE) * H382, 0)</f>
        <v>1.639</v>
      </c>
      <c r="M382" t="str">
        <f t="shared" si="5"/>
        <v>Standard</v>
      </c>
    </row>
    <row r="383" spans="1:13" x14ac:dyDescent="0.3">
      <c r="A383" t="s">
        <v>450</v>
      </c>
      <c r="B383">
        <v>56</v>
      </c>
      <c r="C383">
        <v>40</v>
      </c>
      <c r="D383" t="str">
        <f>IFERROR(VLOOKUP(C383, merchants!$A$2:$D$41, 2, FALSE), "Merchant not found")</f>
        <v>Merchant_040</v>
      </c>
      <c r="E383" t="str">
        <f>IFERROR(VLOOKUP(C383, merchants!$A$2:$D$41, 3, FALSE), "Merchant not found")</f>
        <v>entertainment</v>
      </c>
      <c r="F383" t="str">
        <f>IFERROR(VLOOKUP(C383, merchants!$A$2:$D$41, 4, FALSE), "Merchant not found")</f>
        <v>South</v>
      </c>
      <c r="G383" s="1">
        <v>46045.338888888888</v>
      </c>
      <c r="H383">
        <v>99</v>
      </c>
      <c r="I383" t="s">
        <v>78</v>
      </c>
      <c r="J383" t="s">
        <v>64</v>
      </c>
      <c r="K383">
        <v>94</v>
      </c>
      <c r="L383">
        <f>IFERROR(HLOOKUP(TRIM(I383), FeeTable!$B$1:$H$2, 2, FALSE) * H383, 0)</f>
        <v>1.7819999999999998</v>
      </c>
      <c r="M383" t="str">
        <f t="shared" si="5"/>
        <v>Standard</v>
      </c>
    </row>
    <row r="384" spans="1:13" x14ac:dyDescent="0.3">
      <c r="A384" t="s">
        <v>451</v>
      </c>
      <c r="B384">
        <v>26</v>
      </c>
      <c r="C384">
        <v>34</v>
      </c>
      <c r="D384" t="str">
        <f>IFERROR(VLOOKUP(C384, merchants!$A$2:$D$41, 2, FALSE), "Merchant not found")</f>
        <v>Merchant_034</v>
      </c>
      <c r="E384" t="str">
        <f>IFERROR(VLOOKUP(C384, merchants!$A$2:$D$41, 3, FALSE), "Merchant not found")</f>
        <v>travel</v>
      </c>
      <c r="F384" t="str">
        <f>IFERROR(VLOOKUP(C384, merchants!$A$2:$D$41, 4, FALSE), "Merchant not found")</f>
        <v>South</v>
      </c>
      <c r="G384" s="1">
        <v>46041.302083333336</v>
      </c>
      <c r="H384">
        <v>499</v>
      </c>
      <c r="I384" t="s">
        <v>78</v>
      </c>
      <c r="J384" t="s">
        <v>64</v>
      </c>
      <c r="K384">
        <v>28</v>
      </c>
      <c r="L384">
        <f>IFERROR(HLOOKUP(TRIM(I384), FeeTable!$B$1:$H$2, 2, FALSE) * H384, 0)</f>
        <v>8.9819999999999993</v>
      </c>
      <c r="M384" t="str">
        <f t="shared" si="5"/>
        <v>Standard</v>
      </c>
    </row>
    <row r="385" spans="1:13" x14ac:dyDescent="0.3">
      <c r="A385" t="s">
        <v>452</v>
      </c>
      <c r="B385">
        <v>52</v>
      </c>
      <c r="C385">
        <v>27</v>
      </c>
      <c r="D385" t="str">
        <f>IFERROR(VLOOKUP(C385, merchants!$A$2:$D$41, 2, FALSE), "Merchant not found")</f>
        <v>Merchant_027</v>
      </c>
      <c r="E385" t="str">
        <f>IFERROR(VLOOKUP(C385, merchants!$A$2:$D$41, 3, FALSE), "Merchant not found")</f>
        <v>ecommerce</v>
      </c>
      <c r="F385" t="str">
        <f>IFERROR(VLOOKUP(C385, merchants!$A$2:$D$41, 4, FALSE), "Merchant not found")</f>
        <v>North</v>
      </c>
      <c r="G385" s="1">
        <v>46043.293749999997</v>
      </c>
      <c r="H385">
        <v>499</v>
      </c>
      <c r="I385" t="s">
        <v>78</v>
      </c>
      <c r="J385" t="s">
        <v>64</v>
      </c>
      <c r="K385">
        <v>42</v>
      </c>
      <c r="L385">
        <f>IFERROR(HLOOKUP(TRIM(I385), FeeTable!$B$1:$H$2, 2, FALSE) * H385, 0)</f>
        <v>8.9819999999999993</v>
      </c>
      <c r="M385" t="str">
        <f t="shared" si="5"/>
        <v>Standard</v>
      </c>
    </row>
    <row r="386" spans="1:13" x14ac:dyDescent="0.3">
      <c r="A386" t="s">
        <v>453</v>
      </c>
      <c r="B386">
        <v>349</v>
      </c>
      <c r="C386">
        <v>9</v>
      </c>
      <c r="D386" t="str">
        <f>IFERROR(VLOOKUP(C386, merchants!$A$2:$D$41, 2, FALSE), "Merchant not found")</f>
        <v>Merchant_009</v>
      </c>
      <c r="E386" t="str">
        <f>IFERROR(VLOOKUP(C386, merchants!$A$2:$D$41, 3, FALSE), "Merchant not found")</f>
        <v>ecommerce</v>
      </c>
      <c r="F386" t="str">
        <f>IFERROR(VLOOKUP(C386, merchants!$A$2:$D$41, 4, FALSE), "Merchant not found")</f>
        <v>North</v>
      </c>
      <c r="G386" s="1">
        <v>46045.629166666666</v>
      </c>
      <c r="H386">
        <v>499</v>
      </c>
      <c r="I386" t="s">
        <v>63</v>
      </c>
      <c r="J386" t="s">
        <v>64</v>
      </c>
      <c r="K386">
        <v>0</v>
      </c>
      <c r="L386">
        <f>IFERROR(HLOOKUP(TRIM(I386), FeeTable!$B$1:$H$2, 2, FALSE) * H386, 0)</f>
        <v>5.4889999999999999</v>
      </c>
      <c r="M386" t="str">
        <f t="shared" si="5"/>
        <v>Standard</v>
      </c>
    </row>
    <row r="387" spans="1:13" x14ac:dyDescent="0.3">
      <c r="A387" t="s">
        <v>454</v>
      </c>
      <c r="B387">
        <v>335</v>
      </c>
      <c r="C387">
        <v>31</v>
      </c>
      <c r="D387" t="str">
        <f>IFERROR(VLOOKUP(C387, merchants!$A$2:$D$41, 2, FALSE), "Merchant not found")</f>
        <v>Merchant_031</v>
      </c>
      <c r="E387" t="str">
        <f>IFERROR(VLOOKUP(C387, merchants!$A$2:$D$41, 3, FALSE), "Merchant not found")</f>
        <v>bill_payment</v>
      </c>
      <c r="F387" t="str">
        <f>IFERROR(VLOOKUP(C387, merchants!$A$2:$D$41, 4, FALSE), "Merchant not found")</f>
        <v>East</v>
      </c>
      <c r="G387" s="1">
        <v>46040.226388888892</v>
      </c>
      <c r="H387">
        <v>49</v>
      </c>
      <c r="I387" t="s">
        <v>78</v>
      </c>
      <c r="J387" t="s">
        <v>64</v>
      </c>
      <c r="K387">
        <v>61</v>
      </c>
      <c r="L387">
        <f>IFERROR(HLOOKUP(TRIM(I387), FeeTable!$B$1:$H$2, 2, FALSE) * H387, 0)</f>
        <v>0.8819999999999999</v>
      </c>
      <c r="M387" t="str">
        <f t="shared" ref="M387:M450" si="6">IF(AND(H387 &gt; 5000, F387 &lt;&gt; "East"), "High-Value Merchant Day", "Standard")</f>
        <v>Standard</v>
      </c>
    </row>
    <row r="388" spans="1:13" x14ac:dyDescent="0.3">
      <c r="A388" t="s">
        <v>455</v>
      </c>
      <c r="B388">
        <v>148</v>
      </c>
      <c r="C388">
        <v>21</v>
      </c>
      <c r="D388" t="str">
        <f>IFERROR(VLOOKUP(C388, merchants!$A$2:$D$41, 2, FALSE), "Merchant not found")</f>
        <v>Merchant_021</v>
      </c>
      <c r="E388" t="str">
        <f>IFERROR(VLOOKUP(C388, merchants!$A$2:$D$41, 3, FALSE), "Merchant not found")</f>
        <v>food_delivery</v>
      </c>
      <c r="F388" t="str">
        <f>IFERROR(VLOOKUP(C388, merchants!$A$2:$D$41, 4, FALSE), "Merchant not found")</f>
        <v>East</v>
      </c>
      <c r="G388" s="1">
        <v>46043.283333333333</v>
      </c>
      <c r="H388">
        <v>49</v>
      </c>
      <c r="I388" t="s">
        <v>78</v>
      </c>
      <c r="J388" t="s">
        <v>64</v>
      </c>
      <c r="K388">
        <v>36</v>
      </c>
      <c r="L388">
        <f>IFERROR(HLOOKUP(TRIM(I388), FeeTable!$B$1:$H$2, 2, FALSE) * H388, 0)</f>
        <v>0.8819999999999999</v>
      </c>
      <c r="M388" t="str">
        <f t="shared" si="6"/>
        <v>Standard</v>
      </c>
    </row>
    <row r="389" spans="1:13" x14ac:dyDescent="0.3">
      <c r="A389" t="s">
        <v>456</v>
      </c>
      <c r="B389">
        <v>46</v>
      </c>
      <c r="C389">
        <v>37</v>
      </c>
      <c r="D389" t="str">
        <f>IFERROR(VLOOKUP(C389, merchants!$A$2:$D$41, 2, FALSE), "Merchant not found")</f>
        <v>Merchant_037</v>
      </c>
      <c r="E389" t="str">
        <f>IFERROR(VLOOKUP(C389, merchants!$A$2:$D$41, 3, FALSE), "Merchant not found")</f>
        <v>entertainment</v>
      </c>
      <c r="F389" t="str">
        <f>IFERROR(VLOOKUP(C389, merchants!$A$2:$D$41, 4, FALSE), "Merchant not found")</f>
        <v>South</v>
      </c>
      <c r="G389" s="1">
        <v>46043.081944444442</v>
      </c>
      <c r="H389">
        <v>99</v>
      </c>
      <c r="I389" t="s">
        <v>63</v>
      </c>
      <c r="J389" t="s">
        <v>64</v>
      </c>
      <c r="K389">
        <v>29</v>
      </c>
      <c r="L389">
        <f>IFERROR(HLOOKUP(TRIM(I389), FeeTable!$B$1:$H$2, 2, FALSE) * H389, 0)</f>
        <v>1.089</v>
      </c>
      <c r="M389" t="str">
        <f t="shared" si="6"/>
        <v>Standard</v>
      </c>
    </row>
    <row r="390" spans="1:13" x14ac:dyDescent="0.3">
      <c r="A390" t="s">
        <v>457</v>
      </c>
      <c r="B390">
        <v>20</v>
      </c>
      <c r="C390">
        <v>12</v>
      </c>
      <c r="D390" t="str">
        <f>IFERROR(VLOOKUP(C390, merchants!$A$2:$D$41, 2, FALSE), "Merchant not found")</f>
        <v>Merchant_012</v>
      </c>
      <c r="E390" t="str">
        <f>IFERROR(VLOOKUP(C390, merchants!$A$2:$D$41, 3, FALSE), "Merchant not found")</f>
        <v>ecommerce</v>
      </c>
      <c r="F390" t="str">
        <f>IFERROR(VLOOKUP(C390, merchants!$A$2:$D$41, 4, FALSE), "Merchant not found")</f>
        <v>East</v>
      </c>
      <c r="G390" s="1">
        <v>46040.990277777775</v>
      </c>
      <c r="H390">
        <v>799</v>
      </c>
      <c r="I390" t="s">
        <v>78</v>
      </c>
      <c r="J390" t="s">
        <v>64</v>
      </c>
      <c r="K390">
        <v>53</v>
      </c>
      <c r="L390">
        <f>IFERROR(HLOOKUP(TRIM(I390), FeeTable!$B$1:$H$2, 2, FALSE) * H390, 0)</f>
        <v>14.382</v>
      </c>
      <c r="M390" t="str">
        <f t="shared" si="6"/>
        <v>Standard</v>
      </c>
    </row>
    <row r="391" spans="1:13" x14ac:dyDescent="0.3">
      <c r="A391" t="s">
        <v>458</v>
      </c>
      <c r="B391">
        <v>19</v>
      </c>
      <c r="C391">
        <v>26</v>
      </c>
      <c r="D391" t="str">
        <f>IFERROR(VLOOKUP(C391, merchants!$A$2:$D$41, 2, FALSE), "Merchant not found")</f>
        <v>Merchant_026</v>
      </c>
      <c r="E391" t="str">
        <f>IFERROR(VLOOKUP(C391, merchants!$A$2:$D$41, 3, FALSE), "Merchant not found")</f>
        <v>food_delivery</v>
      </c>
      <c r="F391" t="str">
        <f>IFERROR(VLOOKUP(C391, merchants!$A$2:$D$41, 4, FALSE), "Merchant not found")</f>
        <v>East</v>
      </c>
      <c r="G391" s="1">
        <v>46051.249305555553</v>
      </c>
      <c r="H391">
        <v>49</v>
      </c>
      <c r="I391" t="s">
        <v>66</v>
      </c>
      <c r="J391" t="s">
        <v>64</v>
      </c>
      <c r="K391">
        <v>100</v>
      </c>
      <c r="L391">
        <f>IFERROR(HLOOKUP(TRIM(I391), FeeTable!$B$1:$H$2, 2, FALSE) * H391, 0)</f>
        <v>0</v>
      </c>
      <c r="M391" t="str">
        <f t="shared" si="6"/>
        <v>Standard</v>
      </c>
    </row>
    <row r="392" spans="1:13" x14ac:dyDescent="0.3">
      <c r="A392" t="s">
        <v>459</v>
      </c>
      <c r="B392">
        <v>149</v>
      </c>
      <c r="C392">
        <v>3</v>
      </c>
      <c r="D392" t="str">
        <f>IFERROR(VLOOKUP(C392, merchants!$A$2:$D$41, 2, FALSE), "Merchant not found")</f>
        <v>Merchant_003</v>
      </c>
      <c r="E392" t="str">
        <f>IFERROR(VLOOKUP(C392, merchants!$A$2:$D$41, 3, FALSE), "Merchant not found")</f>
        <v>grocery</v>
      </c>
      <c r="F392" t="str">
        <f>IFERROR(VLOOKUP(C392, merchants!$A$2:$D$41, 4, FALSE), "Merchant not found")</f>
        <v>East</v>
      </c>
      <c r="G392" s="1">
        <v>46038.249305555553</v>
      </c>
      <c r="H392">
        <v>4999</v>
      </c>
      <c r="I392" t="s">
        <v>63</v>
      </c>
      <c r="J392" t="s">
        <v>64</v>
      </c>
      <c r="K392">
        <v>1</v>
      </c>
      <c r="L392">
        <f>IFERROR(HLOOKUP(TRIM(I392), FeeTable!$B$1:$H$2, 2, FALSE) * H392, 0)</f>
        <v>54.988999999999997</v>
      </c>
      <c r="M392" t="str">
        <f t="shared" si="6"/>
        <v>Standard</v>
      </c>
    </row>
    <row r="393" spans="1:13" x14ac:dyDescent="0.3">
      <c r="A393" t="s">
        <v>460</v>
      </c>
      <c r="B393">
        <v>55</v>
      </c>
      <c r="C393">
        <v>22</v>
      </c>
      <c r="D393" t="str">
        <f>IFERROR(VLOOKUP(C393, merchants!$A$2:$D$41, 2, FALSE), "Merchant not found")</f>
        <v>Merchant_022</v>
      </c>
      <c r="E393" t="str">
        <f>IFERROR(VLOOKUP(C393, merchants!$A$2:$D$41, 3, FALSE), "Merchant not found")</f>
        <v>travel</v>
      </c>
      <c r="F393" t="str">
        <f>IFERROR(VLOOKUP(C393, merchants!$A$2:$D$41, 4, FALSE), "Merchant not found")</f>
        <v>South</v>
      </c>
      <c r="G393" s="1">
        <v>46032.776388888888</v>
      </c>
      <c r="H393">
        <v>499</v>
      </c>
      <c r="I393" t="s">
        <v>66</v>
      </c>
      <c r="J393" t="s">
        <v>64</v>
      </c>
      <c r="K393">
        <v>36</v>
      </c>
      <c r="L393">
        <f>IFERROR(HLOOKUP(TRIM(I393), FeeTable!$B$1:$H$2, 2, FALSE) * H393, 0)</f>
        <v>0</v>
      </c>
      <c r="M393" t="str">
        <f t="shared" si="6"/>
        <v>Standard</v>
      </c>
    </row>
    <row r="394" spans="1:13" x14ac:dyDescent="0.3">
      <c r="A394" t="s">
        <v>461</v>
      </c>
      <c r="B394">
        <v>269</v>
      </c>
      <c r="C394">
        <v>32</v>
      </c>
      <c r="D394" t="str">
        <f>IFERROR(VLOOKUP(C394, merchants!$A$2:$D$41, 2, FALSE), "Merchant not found")</f>
        <v>Merchant_032</v>
      </c>
      <c r="E394" t="str">
        <f>IFERROR(VLOOKUP(C394, merchants!$A$2:$D$41, 3, FALSE), "Merchant not found")</f>
        <v>food_delivery</v>
      </c>
      <c r="F394" t="str">
        <f>IFERROR(VLOOKUP(C394, merchants!$A$2:$D$41, 4, FALSE), "Merchant not found")</f>
        <v>West</v>
      </c>
      <c r="G394" s="1">
        <v>46037.856944444444</v>
      </c>
      <c r="H394">
        <v>49</v>
      </c>
      <c r="I394" t="s">
        <v>78</v>
      </c>
      <c r="J394" t="s">
        <v>64</v>
      </c>
      <c r="K394">
        <v>17</v>
      </c>
      <c r="L394">
        <f>IFERROR(HLOOKUP(TRIM(I394), FeeTable!$B$1:$H$2, 2, FALSE) * H394, 0)</f>
        <v>0.8819999999999999</v>
      </c>
      <c r="M394" t="str">
        <f t="shared" si="6"/>
        <v>Standard</v>
      </c>
    </row>
    <row r="395" spans="1:13" x14ac:dyDescent="0.3">
      <c r="A395" t="s">
        <v>462</v>
      </c>
      <c r="B395">
        <v>140</v>
      </c>
      <c r="C395">
        <v>13</v>
      </c>
      <c r="D395" t="str">
        <f>IFERROR(VLOOKUP(C395, merchants!$A$2:$D$41, 2, FALSE), "Merchant not found")</f>
        <v>Merchant_013</v>
      </c>
      <c r="E395" t="str">
        <f>IFERROR(VLOOKUP(C395, merchants!$A$2:$D$41, 3, FALSE), "Merchant not found")</f>
        <v>travel</v>
      </c>
      <c r="F395" t="str">
        <f>IFERROR(VLOOKUP(C395, merchants!$A$2:$D$41, 4, FALSE), "Merchant not found")</f>
        <v>East</v>
      </c>
      <c r="G395" s="1">
        <v>46050.686805555553</v>
      </c>
      <c r="H395">
        <v>2999</v>
      </c>
      <c r="I395" t="s">
        <v>66</v>
      </c>
      <c r="J395" t="s">
        <v>64</v>
      </c>
      <c r="K395">
        <v>14</v>
      </c>
      <c r="L395">
        <f>IFERROR(HLOOKUP(TRIM(I395), FeeTable!$B$1:$H$2, 2, FALSE) * H395, 0)</f>
        <v>0</v>
      </c>
      <c r="M395" t="str">
        <f t="shared" si="6"/>
        <v>Standard</v>
      </c>
    </row>
    <row r="396" spans="1:13" x14ac:dyDescent="0.3">
      <c r="A396" t="s">
        <v>463</v>
      </c>
      <c r="B396">
        <v>235</v>
      </c>
      <c r="C396">
        <v>17</v>
      </c>
      <c r="D396" t="str">
        <f>IFERROR(VLOOKUP(C396, merchants!$A$2:$D$41, 2, FALSE), "Merchant not found")</f>
        <v>Merchant_017</v>
      </c>
      <c r="E396" t="str">
        <f>IFERROR(VLOOKUP(C396, merchants!$A$2:$D$41, 3, FALSE), "Merchant not found")</f>
        <v>grocery</v>
      </c>
      <c r="F396" t="str">
        <f>IFERROR(VLOOKUP(C396, merchants!$A$2:$D$41, 4, FALSE), "Merchant not found")</f>
        <v>North</v>
      </c>
      <c r="G396" s="1">
        <v>46033.240277777775</v>
      </c>
      <c r="H396">
        <v>2999</v>
      </c>
      <c r="I396" t="s">
        <v>66</v>
      </c>
      <c r="J396" t="s">
        <v>64</v>
      </c>
      <c r="K396">
        <v>91</v>
      </c>
      <c r="L396">
        <f>IFERROR(HLOOKUP(TRIM(I396), FeeTable!$B$1:$H$2, 2, FALSE) * H396, 0)</f>
        <v>0</v>
      </c>
      <c r="M396" t="str">
        <f t="shared" si="6"/>
        <v>Standard</v>
      </c>
    </row>
    <row r="397" spans="1:13" x14ac:dyDescent="0.3">
      <c r="A397" t="s">
        <v>464</v>
      </c>
      <c r="B397">
        <v>173</v>
      </c>
      <c r="C397">
        <v>19</v>
      </c>
      <c r="D397" t="str">
        <f>IFERROR(VLOOKUP(C397, merchants!$A$2:$D$41, 2, FALSE), "Merchant not found")</f>
        <v>Merchant_019</v>
      </c>
      <c r="E397" t="str">
        <f>IFERROR(VLOOKUP(C397, merchants!$A$2:$D$41, 3, FALSE), "Merchant not found")</f>
        <v>grocery</v>
      </c>
      <c r="F397" t="str">
        <f>IFERROR(VLOOKUP(C397, merchants!$A$2:$D$41, 4, FALSE), "Merchant not found")</f>
        <v>North</v>
      </c>
      <c r="G397" s="1">
        <v>46028.032638888886</v>
      </c>
      <c r="H397">
        <v>499</v>
      </c>
      <c r="I397" t="s">
        <v>66</v>
      </c>
      <c r="J397" t="s">
        <v>79</v>
      </c>
      <c r="K397">
        <v>72</v>
      </c>
      <c r="L397">
        <f>IFERROR(HLOOKUP(TRIM(I397), FeeTable!$B$1:$H$2, 2, FALSE) * H397, 0)</f>
        <v>0</v>
      </c>
      <c r="M397" t="str">
        <f t="shared" si="6"/>
        <v>Standard</v>
      </c>
    </row>
    <row r="398" spans="1:13" x14ac:dyDescent="0.3">
      <c r="A398" t="s">
        <v>465</v>
      </c>
      <c r="B398">
        <v>313</v>
      </c>
      <c r="C398">
        <v>26</v>
      </c>
      <c r="D398" t="str">
        <f>IFERROR(VLOOKUP(C398, merchants!$A$2:$D$41, 2, FALSE), "Merchant not found")</f>
        <v>Merchant_026</v>
      </c>
      <c r="E398" t="str">
        <f>IFERROR(VLOOKUP(C398, merchants!$A$2:$D$41, 3, FALSE), "Merchant not found")</f>
        <v>food_delivery</v>
      </c>
      <c r="F398" t="str">
        <f>IFERROR(VLOOKUP(C398, merchants!$A$2:$D$41, 4, FALSE), "Merchant not found")</f>
        <v>East</v>
      </c>
      <c r="G398" s="1">
        <v>46044.257638888892</v>
      </c>
      <c r="H398">
        <v>499</v>
      </c>
      <c r="I398" t="s">
        <v>66</v>
      </c>
      <c r="J398" t="s">
        <v>64</v>
      </c>
      <c r="K398">
        <v>54</v>
      </c>
      <c r="L398">
        <f>IFERROR(HLOOKUP(TRIM(I398), FeeTable!$B$1:$H$2, 2, FALSE) * H398, 0)</f>
        <v>0</v>
      </c>
      <c r="M398" t="str">
        <f t="shared" si="6"/>
        <v>Standard</v>
      </c>
    </row>
    <row r="399" spans="1:13" x14ac:dyDescent="0.3">
      <c r="A399" t="s">
        <v>466</v>
      </c>
      <c r="B399">
        <v>206</v>
      </c>
      <c r="C399">
        <v>7</v>
      </c>
      <c r="D399" t="str">
        <f>IFERROR(VLOOKUP(C399, merchants!$A$2:$D$41, 2, FALSE), "Merchant not found")</f>
        <v>Merchant_007</v>
      </c>
      <c r="E399" t="str">
        <f>IFERROR(VLOOKUP(C399, merchants!$A$2:$D$41, 3, FALSE), "Merchant not found")</f>
        <v>food_delivery</v>
      </c>
      <c r="F399" t="str">
        <f>IFERROR(VLOOKUP(C399, merchants!$A$2:$D$41, 4, FALSE), "Merchant not found")</f>
        <v>East</v>
      </c>
      <c r="G399" s="1">
        <v>46039.420138888891</v>
      </c>
      <c r="H399">
        <v>149</v>
      </c>
      <c r="I399" t="s">
        <v>63</v>
      </c>
      <c r="J399" t="s">
        <v>64</v>
      </c>
      <c r="K399">
        <v>23</v>
      </c>
      <c r="L399">
        <f>IFERROR(HLOOKUP(TRIM(I399), FeeTable!$B$1:$H$2, 2, FALSE) * H399, 0)</f>
        <v>1.639</v>
      </c>
      <c r="M399" t="str">
        <f t="shared" si="6"/>
        <v>Standard</v>
      </c>
    </row>
    <row r="400" spans="1:13" x14ac:dyDescent="0.3">
      <c r="A400" t="s">
        <v>467</v>
      </c>
      <c r="B400">
        <v>128</v>
      </c>
      <c r="C400">
        <v>1</v>
      </c>
      <c r="D400" t="str">
        <f>IFERROR(VLOOKUP(C400, merchants!$A$2:$D$41, 2, FALSE), "Merchant not found")</f>
        <v>Merchant_001</v>
      </c>
      <c r="E400" t="str">
        <f>IFERROR(VLOOKUP(C400, merchants!$A$2:$D$41, 3, FALSE), "Merchant not found")</f>
        <v>ecommerce</v>
      </c>
      <c r="F400" t="str">
        <f>IFERROR(VLOOKUP(C400, merchants!$A$2:$D$41, 4, FALSE), "Merchant not found")</f>
        <v>South</v>
      </c>
      <c r="G400" s="1">
        <v>46027.638888888891</v>
      </c>
      <c r="H400">
        <v>1499</v>
      </c>
      <c r="I400" t="s">
        <v>69</v>
      </c>
      <c r="J400" t="s">
        <v>64</v>
      </c>
      <c r="K400">
        <v>33</v>
      </c>
      <c r="L400">
        <f>IFERROR(HLOOKUP(TRIM(I400), FeeTable!$B$1:$H$2, 2, FALSE) * H400, 0)</f>
        <v>22.484999999999999</v>
      </c>
      <c r="M400" t="str">
        <f t="shared" si="6"/>
        <v>Standard</v>
      </c>
    </row>
    <row r="401" spans="1:13" x14ac:dyDescent="0.3">
      <c r="A401" t="s">
        <v>468</v>
      </c>
      <c r="B401">
        <v>137</v>
      </c>
      <c r="C401">
        <v>22</v>
      </c>
      <c r="D401" t="str">
        <f>IFERROR(VLOOKUP(C401, merchants!$A$2:$D$41, 2, FALSE), "Merchant not found")</f>
        <v>Merchant_022</v>
      </c>
      <c r="E401" t="str">
        <f>IFERROR(VLOOKUP(C401, merchants!$A$2:$D$41, 3, FALSE), "Merchant not found")</f>
        <v>travel</v>
      </c>
      <c r="F401" t="str">
        <f>IFERROR(VLOOKUP(C401, merchants!$A$2:$D$41, 4, FALSE), "Merchant not found")</f>
        <v>South</v>
      </c>
      <c r="G401" s="1">
        <v>46035.311111111114</v>
      </c>
      <c r="H401">
        <v>799</v>
      </c>
      <c r="I401" t="s">
        <v>66</v>
      </c>
      <c r="J401" t="s">
        <v>79</v>
      </c>
      <c r="K401">
        <v>38</v>
      </c>
      <c r="L401">
        <f>IFERROR(HLOOKUP(TRIM(I401), FeeTable!$B$1:$H$2, 2, FALSE) * H401, 0)</f>
        <v>0</v>
      </c>
      <c r="M401" t="str">
        <f t="shared" si="6"/>
        <v>Standard</v>
      </c>
    </row>
    <row r="402" spans="1:13" x14ac:dyDescent="0.3">
      <c r="A402" t="s">
        <v>469</v>
      </c>
      <c r="B402">
        <v>6</v>
      </c>
      <c r="C402">
        <v>17</v>
      </c>
      <c r="D402" t="str">
        <f>IFERROR(VLOOKUP(C402, merchants!$A$2:$D$41, 2, FALSE), "Merchant not found")</f>
        <v>Merchant_017</v>
      </c>
      <c r="E402" t="str">
        <f>IFERROR(VLOOKUP(C402, merchants!$A$2:$D$41, 3, FALSE), "Merchant not found")</f>
        <v>grocery</v>
      </c>
      <c r="F402" t="str">
        <f>IFERROR(VLOOKUP(C402, merchants!$A$2:$D$41, 4, FALSE), "Merchant not found")</f>
        <v>North</v>
      </c>
      <c r="G402" s="1">
        <v>46041.98333333333</v>
      </c>
      <c r="H402">
        <v>49</v>
      </c>
      <c r="I402" t="s">
        <v>66</v>
      </c>
      <c r="J402" t="s">
        <v>64</v>
      </c>
      <c r="K402">
        <v>83</v>
      </c>
      <c r="L402">
        <f>IFERROR(HLOOKUP(TRIM(I402), FeeTable!$B$1:$H$2, 2, FALSE) * H402, 0)</f>
        <v>0</v>
      </c>
      <c r="M402" t="str">
        <f t="shared" si="6"/>
        <v>Standard</v>
      </c>
    </row>
    <row r="403" spans="1:13" x14ac:dyDescent="0.3">
      <c r="A403" t="s">
        <v>470</v>
      </c>
      <c r="B403">
        <v>32</v>
      </c>
      <c r="C403">
        <v>8</v>
      </c>
      <c r="D403" t="str">
        <f>IFERROR(VLOOKUP(C403, merchants!$A$2:$D$41, 2, FALSE), "Merchant not found")</f>
        <v>Merchant_008</v>
      </c>
      <c r="E403" t="str">
        <f>IFERROR(VLOOKUP(C403, merchants!$A$2:$D$41, 3, FALSE), "Merchant not found")</f>
        <v>food_delivery</v>
      </c>
      <c r="F403" t="str">
        <f>IFERROR(VLOOKUP(C403, merchants!$A$2:$D$41, 4, FALSE), "Merchant not found")</f>
        <v>North</v>
      </c>
      <c r="G403" s="1">
        <v>46034.927083333336</v>
      </c>
      <c r="H403">
        <v>299</v>
      </c>
      <c r="I403" t="s">
        <v>78</v>
      </c>
      <c r="J403" t="s">
        <v>64</v>
      </c>
      <c r="K403">
        <v>59</v>
      </c>
      <c r="L403">
        <f>IFERROR(HLOOKUP(TRIM(I403), FeeTable!$B$1:$H$2, 2, FALSE) * H403, 0)</f>
        <v>5.3819999999999997</v>
      </c>
      <c r="M403" t="str">
        <f t="shared" si="6"/>
        <v>Standard</v>
      </c>
    </row>
    <row r="404" spans="1:13" x14ac:dyDescent="0.3">
      <c r="A404" t="s">
        <v>471</v>
      </c>
      <c r="B404">
        <v>258</v>
      </c>
      <c r="C404">
        <v>20</v>
      </c>
      <c r="D404" t="str">
        <f>IFERROR(VLOOKUP(C404, merchants!$A$2:$D$41, 2, FALSE), "Merchant not found")</f>
        <v>Merchant_020</v>
      </c>
      <c r="E404" t="str">
        <f>IFERROR(VLOOKUP(C404, merchants!$A$2:$D$41, 3, FALSE), "Merchant not found")</f>
        <v>food_delivery</v>
      </c>
      <c r="F404" t="str">
        <f>IFERROR(VLOOKUP(C404, merchants!$A$2:$D$41, 4, FALSE), "Merchant not found")</f>
        <v>East</v>
      </c>
      <c r="G404" s="1">
        <v>46032.225694444445</v>
      </c>
      <c r="H404">
        <v>149</v>
      </c>
      <c r="I404" t="s">
        <v>66</v>
      </c>
      <c r="J404" t="s">
        <v>64</v>
      </c>
      <c r="K404">
        <v>88</v>
      </c>
      <c r="L404">
        <f>IFERROR(HLOOKUP(TRIM(I404), FeeTable!$B$1:$H$2, 2, FALSE) * H404, 0)</f>
        <v>0</v>
      </c>
      <c r="M404" t="str">
        <f t="shared" si="6"/>
        <v>Standard</v>
      </c>
    </row>
    <row r="405" spans="1:13" x14ac:dyDescent="0.3">
      <c r="A405" t="s">
        <v>472</v>
      </c>
      <c r="B405">
        <v>152</v>
      </c>
      <c r="C405">
        <v>24</v>
      </c>
      <c r="D405" t="str">
        <f>IFERROR(VLOOKUP(C405, merchants!$A$2:$D$41, 2, FALSE), "Merchant not found")</f>
        <v>Merchant_024</v>
      </c>
      <c r="E405" t="str">
        <f>IFERROR(VLOOKUP(C405, merchants!$A$2:$D$41, 3, FALSE), "Merchant not found")</f>
        <v>grocery</v>
      </c>
      <c r="F405" t="str">
        <f>IFERROR(VLOOKUP(C405, merchants!$A$2:$D$41, 4, FALSE), "Merchant not found")</f>
        <v>North</v>
      </c>
      <c r="G405" s="1">
        <v>46026.873611111114</v>
      </c>
      <c r="H405">
        <v>149</v>
      </c>
      <c r="I405" t="s">
        <v>66</v>
      </c>
      <c r="J405" t="s">
        <v>92</v>
      </c>
      <c r="K405">
        <v>78</v>
      </c>
      <c r="L405">
        <f>IFERROR(HLOOKUP(TRIM(I405), FeeTable!$B$1:$H$2, 2, FALSE) * H405, 0)</f>
        <v>0</v>
      </c>
      <c r="M405" t="str">
        <f t="shared" si="6"/>
        <v>Standard</v>
      </c>
    </row>
    <row r="406" spans="1:13" x14ac:dyDescent="0.3">
      <c r="A406" t="s">
        <v>473</v>
      </c>
      <c r="B406">
        <v>245</v>
      </c>
      <c r="C406">
        <v>10</v>
      </c>
      <c r="D406" t="str">
        <f>IFERROR(VLOOKUP(C406, merchants!$A$2:$D$41, 2, FALSE), "Merchant not found")</f>
        <v>Merchant_010</v>
      </c>
      <c r="E406" t="str">
        <f>IFERROR(VLOOKUP(C406, merchants!$A$2:$D$41, 3, FALSE), "Merchant not found")</f>
        <v>grocery</v>
      </c>
      <c r="F406" t="str">
        <f>IFERROR(VLOOKUP(C406, merchants!$A$2:$D$41, 4, FALSE), "Merchant not found")</f>
        <v>West</v>
      </c>
      <c r="G406" s="1">
        <v>46030.297222222223</v>
      </c>
      <c r="H406">
        <v>799</v>
      </c>
      <c r="I406" t="s">
        <v>63</v>
      </c>
      <c r="J406" t="s">
        <v>64</v>
      </c>
      <c r="K406">
        <v>58</v>
      </c>
      <c r="L406">
        <f>IFERROR(HLOOKUP(TRIM(I406), FeeTable!$B$1:$H$2, 2, FALSE) * H406, 0)</f>
        <v>8.7889999999999997</v>
      </c>
      <c r="M406" t="str">
        <f t="shared" si="6"/>
        <v>Standard</v>
      </c>
    </row>
    <row r="407" spans="1:13" x14ac:dyDescent="0.3">
      <c r="A407" t="s">
        <v>474</v>
      </c>
      <c r="B407">
        <v>213</v>
      </c>
      <c r="C407">
        <v>36</v>
      </c>
      <c r="D407" t="str">
        <f>IFERROR(VLOOKUP(C407, merchants!$A$2:$D$41, 2, FALSE), "Merchant not found")</f>
        <v>Merchant_036</v>
      </c>
      <c r="E407" t="str">
        <f>IFERROR(VLOOKUP(C407, merchants!$A$2:$D$41, 3, FALSE), "Merchant not found")</f>
        <v>entertainment</v>
      </c>
      <c r="F407" t="str">
        <f>IFERROR(VLOOKUP(C407, merchants!$A$2:$D$41, 4, FALSE), "Merchant not found")</f>
        <v>East</v>
      </c>
      <c r="G407" s="1">
        <v>46046.807638888888</v>
      </c>
      <c r="H407">
        <v>49</v>
      </c>
      <c r="I407" t="s">
        <v>63</v>
      </c>
      <c r="J407" t="s">
        <v>64</v>
      </c>
      <c r="K407">
        <v>60</v>
      </c>
      <c r="L407">
        <f>IFERROR(HLOOKUP(TRIM(I407), FeeTable!$B$1:$H$2, 2, FALSE) * H407, 0)</f>
        <v>0.53899999999999992</v>
      </c>
      <c r="M407" t="str">
        <f t="shared" si="6"/>
        <v>Standard</v>
      </c>
    </row>
    <row r="408" spans="1:13" x14ac:dyDescent="0.3">
      <c r="A408" t="s">
        <v>475</v>
      </c>
      <c r="B408">
        <v>341</v>
      </c>
      <c r="C408">
        <v>14</v>
      </c>
      <c r="D408" t="str">
        <f>IFERROR(VLOOKUP(C408, merchants!$A$2:$D$41, 2, FALSE), "Merchant not found")</f>
        <v>Merchant_014</v>
      </c>
      <c r="E408" t="str">
        <f>IFERROR(VLOOKUP(C408, merchants!$A$2:$D$41, 3, FALSE), "Merchant not found")</f>
        <v>grocery</v>
      </c>
      <c r="F408" t="str">
        <f>IFERROR(VLOOKUP(C408, merchants!$A$2:$D$41, 4, FALSE), "Merchant not found")</f>
        <v>East</v>
      </c>
      <c r="G408" s="1">
        <v>46047.743750000001</v>
      </c>
      <c r="H408">
        <v>99</v>
      </c>
      <c r="I408" t="s">
        <v>69</v>
      </c>
      <c r="J408" t="s">
        <v>64</v>
      </c>
      <c r="K408">
        <v>97</v>
      </c>
      <c r="L408">
        <f>IFERROR(HLOOKUP(TRIM(I408), FeeTable!$B$1:$H$2, 2, FALSE) * H408, 0)</f>
        <v>1.4849999999999999</v>
      </c>
      <c r="M408" t="str">
        <f t="shared" si="6"/>
        <v>Standard</v>
      </c>
    </row>
    <row r="409" spans="1:13" x14ac:dyDescent="0.3">
      <c r="A409" t="s">
        <v>476</v>
      </c>
      <c r="B409">
        <v>306</v>
      </c>
      <c r="C409">
        <v>6</v>
      </c>
      <c r="D409" t="str">
        <f>IFERROR(VLOOKUP(C409, merchants!$A$2:$D$41, 2, FALSE), "Merchant not found")</f>
        <v>Merchant_006</v>
      </c>
      <c r="E409" t="str">
        <f>IFERROR(VLOOKUP(C409, merchants!$A$2:$D$41, 3, FALSE), "Merchant not found")</f>
        <v>food_delivery</v>
      </c>
      <c r="F409" t="str">
        <f>IFERROR(VLOOKUP(C409, merchants!$A$2:$D$41, 4, FALSE), "Merchant not found")</f>
        <v>South</v>
      </c>
      <c r="G409" s="1">
        <v>46030.908333333333</v>
      </c>
      <c r="H409">
        <v>149</v>
      </c>
      <c r="I409" t="s">
        <v>69</v>
      </c>
      <c r="J409" t="s">
        <v>64</v>
      </c>
      <c r="K409">
        <v>67</v>
      </c>
      <c r="L409">
        <f>IFERROR(HLOOKUP(TRIM(I409), FeeTable!$B$1:$H$2, 2, FALSE) * H409, 0)</f>
        <v>2.2349999999999999</v>
      </c>
      <c r="M409" t="str">
        <f t="shared" si="6"/>
        <v>Standard</v>
      </c>
    </row>
    <row r="410" spans="1:13" x14ac:dyDescent="0.3">
      <c r="A410" t="s">
        <v>477</v>
      </c>
      <c r="B410">
        <v>186</v>
      </c>
      <c r="C410">
        <v>5</v>
      </c>
      <c r="D410" t="str">
        <f>IFERROR(VLOOKUP(C410, merchants!$A$2:$D$41, 2, FALSE), "Merchant not found")</f>
        <v>Merchant_005</v>
      </c>
      <c r="E410" t="str">
        <f>IFERROR(VLOOKUP(C410, merchants!$A$2:$D$41, 3, FALSE), "Merchant not found")</f>
        <v>recharge</v>
      </c>
      <c r="F410" t="str">
        <f>IFERROR(VLOOKUP(C410, merchants!$A$2:$D$41, 4, FALSE), "Merchant not found")</f>
        <v>South</v>
      </c>
      <c r="G410" s="1">
        <v>46037.697916666664</v>
      </c>
      <c r="H410">
        <v>499</v>
      </c>
      <c r="I410" t="s">
        <v>66</v>
      </c>
      <c r="J410" t="s">
        <v>64</v>
      </c>
      <c r="K410">
        <v>72</v>
      </c>
      <c r="L410">
        <f>IFERROR(HLOOKUP(TRIM(I410), FeeTable!$B$1:$H$2, 2, FALSE) * H410, 0)</f>
        <v>0</v>
      </c>
      <c r="M410" t="str">
        <f t="shared" si="6"/>
        <v>Standard</v>
      </c>
    </row>
    <row r="411" spans="1:13" x14ac:dyDescent="0.3">
      <c r="A411" t="s">
        <v>478</v>
      </c>
      <c r="B411">
        <v>281</v>
      </c>
      <c r="C411">
        <v>33</v>
      </c>
      <c r="D411" t="str">
        <f>IFERROR(VLOOKUP(C411, merchants!$A$2:$D$41, 2, FALSE), "Merchant not found")</f>
        <v>Merchant_033</v>
      </c>
      <c r="E411" t="str">
        <f>IFERROR(VLOOKUP(C411, merchants!$A$2:$D$41, 3, FALSE), "Merchant not found")</f>
        <v>bill_payment</v>
      </c>
      <c r="F411" t="str">
        <f>IFERROR(VLOOKUP(C411, merchants!$A$2:$D$41, 4, FALSE), "Merchant not found")</f>
        <v>East</v>
      </c>
      <c r="G411" s="1">
        <v>46026.078472222223</v>
      </c>
      <c r="H411">
        <v>4999</v>
      </c>
      <c r="I411" t="s">
        <v>66</v>
      </c>
      <c r="J411" t="s">
        <v>64</v>
      </c>
      <c r="K411">
        <v>25</v>
      </c>
      <c r="L411">
        <f>IFERROR(HLOOKUP(TRIM(I411), FeeTable!$B$1:$H$2, 2, FALSE) * H411, 0)</f>
        <v>0</v>
      </c>
      <c r="M411" t="str">
        <f t="shared" si="6"/>
        <v>Standard</v>
      </c>
    </row>
    <row r="412" spans="1:13" x14ac:dyDescent="0.3">
      <c r="A412" t="s">
        <v>479</v>
      </c>
      <c r="B412">
        <v>85</v>
      </c>
      <c r="C412">
        <v>21</v>
      </c>
      <c r="D412" t="str">
        <f>IFERROR(VLOOKUP(C412, merchants!$A$2:$D$41, 2, FALSE), "Merchant not found")</f>
        <v>Merchant_021</v>
      </c>
      <c r="E412" t="str">
        <f>IFERROR(VLOOKUP(C412, merchants!$A$2:$D$41, 3, FALSE), "Merchant not found")</f>
        <v>food_delivery</v>
      </c>
      <c r="F412" t="str">
        <f>IFERROR(VLOOKUP(C412, merchants!$A$2:$D$41, 4, FALSE), "Merchant not found")</f>
        <v>East</v>
      </c>
      <c r="G412" s="1">
        <v>46041.714583333334</v>
      </c>
      <c r="H412">
        <v>99</v>
      </c>
      <c r="I412" t="s">
        <v>66</v>
      </c>
      <c r="J412" t="s">
        <v>64</v>
      </c>
      <c r="K412">
        <v>66</v>
      </c>
      <c r="L412">
        <f>IFERROR(HLOOKUP(TRIM(I412), FeeTable!$B$1:$H$2, 2, FALSE) * H412, 0)</f>
        <v>0</v>
      </c>
      <c r="M412" t="str">
        <f t="shared" si="6"/>
        <v>Standard</v>
      </c>
    </row>
    <row r="413" spans="1:13" x14ac:dyDescent="0.3">
      <c r="A413" t="s">
        <v>480</v>
      </c>
      <c r="B413">
        <v>106</v>
      </c>
      <c r="C413">
        <v>38</v>
      </c>
      <c r="D413" t="str">
        <f>IFERROR(VLOOKUP(C413, merchants!$A$2:$D$41, 2, FALSE), "Merchant not found")</f>
        <v>Merchant_038</v>
      </c>
      <c r="E413" t="str">
        <f>IFERROR(VLOOKUP(C413, merchants!$A$2:$D$41, 3, FALSE), "Merchant not found")</f>
        <v>grocery</v>
      </c>
      <c r="F413" t="str">
        <f>IFERROR(VLOOKUP(C413, merchants!$A$2:$D$41, 4, FALSE), "Merchant not found")</f>
        <v>East</v>
      </c>
      <c r="G413" s="1">
        <v>46037.154861111114</v>
      </c>
      <c r="H413">
        <v>499</v>
      </c>
      <c r="I413" t="s">
        <v>66</v>
      </c>
      <c r="J413" t="s">
        <v>64</v>
      </c>
      <c r="K413">
        <v>62</v>
      </c>
      <c r="L413">
        <f>IFERROR(HLOOKUP(TRIM(I413), FeeTable!$B$1:$H$2, 2, FALSE) * H413, 0)</f>
        <v>0</v>
      </c>
      <c r="M413" t="str">
        <f t="shared" si="6"/>
        <v>Standard</v>
      </c>
    </row>
    <row r="414" spans="1:13" x14ac:dyDescent="0.3">
      <c r="A414" t="s">
        <v>481</v>
      </c>
      <c r="B414">
        <v>29</v>
      </c>
      <c r="C414">
        <v>30</v>
      </c>
      <c r="D414" t="str">
        <f>IFERROR(VLOOKUP(C414, merchants!$A$2:$D$41, 2, FALSE), "Merchant not found")</f>
        <v>Merchant_030</v>
      </c>
      <c r="E414" t="str">
        <f>IFERROR(VLOOKUP(C414, merchants!$A$2:$D$41, 3, FALSE), "Merchant not found")</f>
        <v>travel</v>
      </c>
      <c r="F414" t="str">
        <f>IFERROR(VLOOKUP(C414, merchants!$A$2:$D$41, 4, FALSE), "Merchant not found")</f>
        <v>West</v>
      </c>
      <c r="G414" s="1">
        <v>46025.686111111114</v>
      </c>
      <c r="H414">
        <v>149</v>
      </c>
      <c r="I414" t="s">
        <v>69</v>
      </c>
      <c r="J414" t="s">
        <v>64</v>
      </c>
      <c r="K414">
        <v>16</v>
      </c>
      <c r="L414">
        <f>IFERROR(HLOOKUP(TRIM(I414), FeeTable!$B$1:$H$2, 2, FALSE) * H414, 0)</f>
        <v>2.2349999999999999</v>
      </c>
      <c r="M414" t="str">
        <f t="shared" si="6"/>
        <v>Standard</v>
      </c>
    </row>
    <row r="415" spans="1:13" x14ac:dyDescent="0.3">
      <c r="A415" t="s">
        <v>482</v>
      </c>
      <c r="B415">
        <v>289</v>
      </c>
      <c r="C415">
        <v>4</v>
      </c>
      <c r="D415" t="str">
        <f>IFERROR(VLOOKUP(C415, merchants!$A$2:$D$41, 2, FALSE), "Merchant not found")</f>
        <v>Merchant_004</v>
      </c>
      <c r="E415" t="str">
        <f>IFERROR(VLOOKUP(C415, merchants!$A$2:$D$41, 3, FALSE), "Merchant not found")</f>
        <v>ecommerce</v>
      </c>
      <c r="F415" t="str">
        <f>IFERROR(VLOOKUP(C415, merchants!$A$2:$D$41, 4, FALSE), "Merchant not found")</f>
        <v>East</v>
      </c>
      <c r="G415" s="1">
        <v>46039.561805555553</v>
      </c>
      <c r="H415">
        <v>1499</v>
      </c>
      <c r="I415" t="s">
        <v>78</v>
      </c>
      <c r="J415" t="s">
        <v>64</v>
      </c>
      <c r="K415">
        <v>71</v>
      </c>
      <c r="L415">
        <f>IFERROR(HLOOKUP(TRIM(I415), FeeTable!$B$1:$H$2, 2, FALSE) * H415, 0)</f>
        <v>26.981999999999999</v>
      </c>
      <c r="M415" t="str">
        <f t="shared" si="6"/>
        <v>Standard</v>
      </c>
    </row>
    <row r="416" spans="1:13" x14ac:dyDescent="0.3">
      <c r="A416" t="s">
        <v>483</v>
      </c>
      <c r="B416">
        <v>158</v>
      </c>
      <c r="C416">
        <v>2</v>
      </c>
      <c r="D416" t="str">
        <f>IFERROR(VLOOKUP(C416, merchants!$A$2:$D$41, 2, FALSE), "Merchant not found")</f>
        <v>Merchant_002</v>
      </c>
      <c r="E416" t="str">
        <f>IFERROR(VLOOKUP(C416, merchants!$A$2:$D$41, 3, FALSE), "Merchant not found")</f>
        <v>grocery</v>
      </c>
      <c r="F416" t="str">
        <f>IFERROR(VLOOKUP(C416, merchants!$A$2:$D$41, 4, FALSE), "Merchant not found")</f>
        <v>West</v>
      </c>
      <c r="G416" s="1">
        <v>46037.910416666666</v>
      </c>
      <c r="H416">
        <v>1499</v>
      </c>
      <c r="I416" t="s">
        <v>78</v>
      </c>
      <c r="J416" t="s">
        <v>64</v>
      </c>
      <c r="K416">
        <v>50</v>
      </c>
      <c r="L416">
        <f>IFERROR(HLOOKUP(TRIM(I416), FeeTable!$B$1:$H$2, 2, FALSE) * H416, 0)</f>
        <v>26.981999999999999</v>
      </c>
      <c r="M416" t="str">
        <f t="shared" si="6"/>
        <v>Standard</v>
      </c>
    </row>
    <row r="417" spans="1:13" x14ac:dyDescent="0.3">
      <c r="A417" t="s">
        <v>484</v>
      </c>
      <c r="B417">
        <v>112</v>
      </c>
      <c r="C417">
        <v>38</v>
      </c>
      <c r="D417" t="str">
        <f>IFERROR(VLOOKUP(C417, merchants!$A$2:$D$41, 2, FALSE), "Merchant not found")</f>
        <v>Merchant_038</v>
      </c>
      <c r="E417" t="str">
        <f>IFERROR(VLOOKUP(C417, merchants!$A$2:$D$41, 3, FALSE), "Merchant not found")</f>
        <v>grocery</v>
      </c>
      <c r="F417" t="str">
        <f>IFERROR(VLOOKUP(C417, merchants!$A$2:$D$41, 4, FALSE), "Merchant not found")</f>
        <v>East</v>
      </c>
      <c r="G417" s="1">
        <v>46031.032638888886</v>
      </c>
      <c r="H417">
        <v>49</v>
      </c>
      <c r="I417" t="s">
        <v>66</v>
      </c>
      <c r="J417" t="s">
        <v>64</v>
      </c>
      <c r="K417">
        <v>9</v>
      </c>
      <c r="L417">
        <f>IFERROR(HLOOKUP(TRIM(I417), FeeTable!$B$1:$H$2, 2, FALSE) * H417, 0)</f>
        <v>0</v>
      </c>
      <c r="M417" t="str">
        <f t="shared" si="6"/>
        <v>Standard</v>
      </c>
    </row>
    <row r="418" spans="1:13" x14ac:dyDescent="0.3">
      <c r="A418" t="s">
        <v>485</v>
      </c>
      <c r="B418">
        <v>33</v>
      </c>
      <c r="C418">
        <v>35</v>
      </c>
      <c r="D418" t="str">
        <f>IFERROR(VLOOKUP(C418, merchants!$A$2:$D$41, 2, FALSE), "Merchant not found")</f>
        <v>Merchant_035</v>
      </c>
      <c r="E418" t="str">
        <f>IFERROR(VLOOKUP(C418, merchants!$A$2:$D$41, 3, FALSE), "Merchant not found")</f>
        <v>recharge</v>
      </c>
      <c r="F418" t="str">
        <f>IFERROR(VLOOKUP(C418, merchants!$A$2:$D$41, 4, FALSE), "Merchant not found")</f>
        <v>East</v>
      </c>
      <c r="G418" s="1">
        <v>46024.556944444441</v>
      </c>
      <c r="H418">
        <v>299</v>
      </c>
      <c r="I418" t="s">
        <v>78</v>
      </c>
      <c r="J418" t="s">
        <v>79</v>
      </c>
      <c r="K418">
        <v>7</v>
      </c>
      <c r="L418">
        <f>IFERROR(HLOOKUP(TRIM(I418), FeeTable!$B$1:$H$2, 2, FALSE) * H418, 0)</f>
        <v>5.3819999999999997</v>
      </c>
      <c r="M418" t="str">
        <f t="shared" si="6"/>
        <v>Standard</v>
      </c>
    </row>
    <row r="419" spans="1:13" x14ac:dyDescent="0.3">
      <c r="A419" t="s">
        <v>486</v>
      </c>
      <c r="B419">
        <v>242</v>
      </c>
      <c r="C419">
        <v>3</v>
      </c>
      <c r="D419" t="str">
        <f>IFERROR(VLOOKUP(C419, merchants!$A$2:$D$41, 2, FALSE), "Merchant not found")</f>
        <v>Merchant_003</v>
      </c>
      <c r="E419" t="str">
        <f>IFERROR(VLOOKUP(C419, merchants!$A$2:$D$41, 3, FALSE), "Merchant not found")</f>
        <v>grocery</v>
      </c>
      <c r="F419" t="str">
        <f>IFERROR(VLOOKUP(C419, merchants!$A$2:$D$41, 4, FALSE), "Merchant not found")</f>
        <v>East</v>
      </c>
      <c r="G419" s="1">
        <v>46052.124305555553</v>
      </c>
      <c r="H419">
        <v>49</v>
      </c>
      <c r="I419" t="s">
        <v>66</v>
      </c>
      <c r="J419" t="s">
        <v>64</v>
      </c>
      <c r="K419">
        <v>36</v>
      </c>
      <c r="L419">
        <f>IFERROR(HLOOKUP(TRIM(I419), FeeTable!$B$1:$H$2, 2, FALSE) * H419, 0)</f>
        <v>0</v>
      </c>
      <c r="M419" t="str">
        <f t="shared" si="6"/>
        <v>Standard</v>
      </c>
    </row>
    <row r="420" spans="1:13" x14ac:dyDescent="0.3">
      <c r="A420" t="s">
        <v>487</v>
      </c>
      <c r="B420">
        <v>70</v>
      </c>
      <c r="C420">
        <v>27</v>
      </c>
      <c r="D420" t="str">
        <f>IFERROR(VLOOKUP(C420, merchants!$A$2:$D$41, 2, FALSE), "Merchant not found")</f>
        <v>Merchant_027</v>
      </c>
      <c r="E420" t="str">
        <f>IFERROR(VLOOKUP(C420, merchants!$A$2:$D$41, 3, FALSE), "Merchant not found")</f>
        <v>ecommerce</v>
      </c>
      <c r="F420" t="str">
        <f>IFERROR(VLOOKUP(C420, merchants!$A$2:$D$41, 4, FALSE), "Merchant not found")</f>
        <v>North</v>
      </c>
      <c r="G420" s="1">
        <v>46036.242361111108</v>
      </c>
      <c r="H420">
        <v>149</v>
      </c>
      <c r="I420" t="s">
        <v>66</v>
      </c>
      <c r="J420" t="s">
        <v>64</v>
      </c>
      <c r="K420">
        <v>47</v>
      </c>
      <c r="L420">
        <f>IFERROR(HLOOKUP(TRIM(I420), FeeTable!$B$1:$H$2, 2, FALSE) * H420, 0)</f>
        <v>0</v>
      </c>
      <c r="M420" t="str">
        <f t="shared" si="6"/>
        <v>Standard</v>
      </c>
    </row>
    <row r="421" spans="1:13" x14ac:dyDescent="0.3">
      <c r="A421" t="s">
        <v>488</v>
      </c>
      <c r="B421">
        <v>194</v>
      </c>
      <c r="C421">
        <v>25</v>
      </c>
      <c r="D421" t="str">
        <f>IFERROR(VLOOKUP(C421, merchants!$A$2:$D$41, 2, FALSE), "Merchant not found")</f>
        <v>Merchant_025</v>
      </c>
      <c r="E421" t="str">
        <f>IFERROR(VLOOKUP(C421, merchants!$A$2:$D$41, 3, FALSE), "Merchant not found")</f>
        <v>travel</v>
      </c>
      <c r="F421" t="str">
        <f>IFERROR(VLOOKUP(C421, merchants!$A$2:$D$41, 4, FALSE), "Merchant not found")</f>
        <v>South</v>
      </c>
      <c r="G421" s="1">
        <v>46051.519444444442</v>
      </c>
      <c r="H421">
        <v>49</v>
      </c>
      <c r="I421" t="s">
        <v>63</v>
      </c>
      <c r="J421" t="s">
        <v>64</v>
      </c>
      <c r="K421">
        <v>10</v>
      </c>
      <c r="L421">
        <f>IFERROR(HLOOKUP(TRIM(I421), FeeTable!$B$1:$H$2, 2, FALSE) * H421, 0)</f>
        <v>0.53899999999999992</v>
      </c>
      <c r="M421" t="str">
        <f t="shared" si="6"/>
        <v>Standard</v>
      </c>
    </row>
    <row r="422" spans="1:13" x14ac:dyDescent="0.3">
      <c r="A422" t="s">
        <v>489</v>
      </c>
      <c r="B422">
        <v>277</v>
      </c>
      <c r="C422">
        <v>9</v>
      </c>
      <c r="D422" t="str">
        <f>IFERROR(VLOOKUP(C422, merchants!$A$2:$D$41, 2, FALSE), "Merchant not found")</f>
        <v>Merchant_009</v>
      </c>
      <c r="E422" t="str">
        <f>IFERROR(VLOOKUP(C422, merchants!$A$2:$D$41, 3, FALSE), "Merchant not found")</f>
        <v>ecommerce</v>
      </c>
      <c r="F422" t="str">
        <f>IFERROR(VLOOKUP(C422, merchants!$A$2:$D$41, 4, FALSE), "Merchant not found")</f>
        <v>North</v>
      </c>
      <c r="G422" s="1">
        <v>46044.913194444445</v>
      </c>
      <c r="H422">
        <v>799</v>
      </c>
      <c r="I422" t="s">
        <v>66</v>
      </c>
      <c r="J422" t="s">
        <v>64</v>
      </c>
      <c r="K422">
        <v>83</v>
      </c>
      <c r="L422">
        <f>IFERROR(HLOOKUP(TRIM(I422), FeeTable!$B$1:$H$2, 2, FALSE) * H422, 0)</f>
        <v>0</v>
      </c>
      <c r="M422" t="str">
        <f t="shared" si="6"/>
        <v>Standard</v>
      </c>
    </row>
    <row r="423" spans="1:13" x14ac:dyDescent="0.3">
      <c r="A423" t="s">
        <v>490</v>
      </c>
      <c r="B423">
        <v>92</v>
      </c>
      <c r="C423">
        <v>35</v>
      </c>
      <c r="D423" t="str">
        <f>IFERROR(VLOOKUP(C423, merchants!$A$2:$D$41, 2, FALSE), "Merchant not found")</f>
        <v>Merchant_035</v>
      </c>
      <c r="E423" t="str">
        <f>IFERROR(VLOOKUP(C423, merchants!$A$2:$D$41, 3, FALSE), "Merchant not found")</f>
        <v>recharge</v>
      </c>
      <c r="F423" t="str">
        <f>IFERROR(VLOOKUP(C423, merchants!$A$2:$D$41, 4, FALSE), "Merchant not found")</f>
        <v>East</v>
      </c>
      <c r="G423" s="1">
        <v>46050.463194444441</v>
      </c>
      <c r="H423">
        <v>49</v>
      </c>
      <c r="I423" t="s">
        <v>66</v>
      </c>
      <c r="J423" t="s">
        <v>64</v>
      </c>
      <c r="K423">
        <v>50</v>
      </c>
      <c r="L423">
        <f>IFERROR(HLOOKUP(TRIM(I423), FeeTable!$B$1:$H$2, 2, FALSE) * H423, 0)</f>
        <v>0</v>
      </c>
      <c r="M423" t="str">
        <f t="shared" si="6"/>
        <v>Standard</v>
      </c>
    </row>
    <row r="424" spans="1:13" x14ac:dyDescent="0.3">
      <c r="A424" t="s">
        <v>491</v>
      </c>
      <c r="B424">
        <v>115</v>
      </c>
      <c r="C424">
        <v>1</v>
      </c>
      <c r="D424" t="str">
        <f>IFERROR(VLOOKUP(C424, merchants!$A$2:$D$41, 2, FALSE), "Merchant not found")</f>
        <v>Merchant_001</v>
      </c>
      <c r="E424" t="str">
        <f>IFERROR(VLOOKUP(C424, merchants!$A$2:$D$41, 3, FALSE), "Merchant not found")</f>
        <v>ecommerce</v>
      </c>
      <c r="F424" t="str">
        <f>IFERROR(VLOOKUP(C424, merchants!$A$2:$D$41, 4, FALSE), "Merchant not found")</f>
        <v>South</v>
      </c>
      <c r="G424" s="1">
        <v>46039.198611111111</v>
      </c>
      <c r="H424">
        <v>149</v>
      </c>
      <c r="I424" t="s">
        <v>63</v>
      </c>
      <c r="J424" t="s">
        <v>64</v>
      </c>
      <c r="K424">
        <v>96</v>
      </c>
      <c r="L424">
        <f>IFERROR(HLOOKUP(TRIM(I424), FeeTable!$B$1:$H$2, 2, FALSE) * H424, 0)</f>
        <v>1.639</v>
      </c>
      <c r="M424" t="str">
        <f t="shared" si="6"/>
        <v>Standard</v>
      </c>
    </row>
    <row r="425" spans="1:13" x14ac:dyDescent="0.3">
      <c r="A425" t="s">
        <v>492</v>
      </c>
      <c r="B425">
        <v>345</v>
      </c>
      <c r="C425">
        <v>35</v>
      </c>
      <c r="D425" t="str">
        <f>IFERROR(VLOOKUP(C425, merchants!$A$2:$D$41, 2, FALSE), "Merchant not found")</f>
        <v>Merchant_035</v>
      </c>
      <c r="E425" t="str">
        <f>IFERROR(VLOOKUP(C425, merchants!$A$2:$D$41, 3, FALSE), "Merchant not found")</f>
        <v>recharge</v>
      </c>
      <c r="F425" t="str">
        <f>IFERROR(VLOOKUP(C425, merchants!$A$2:$D$41, 4, FALSE), "Merchant not found")</f>
        <v>East</v>
      </c>
      <c r="G425" s="1">
        <v>46023.395138888889</v>
      </c>
      <c r="H425">
        <v>499</v>
      </c>
      <c r="I425" t="s">
        <v>78</v>
      </c>
      <c r="J425" t="s">
        <v>64</v>
      </c>
      <c r="K425">
        <v>54</v>
      </c>
      <c r="L425">
        <f>IFERROR(HLOOKUP(TRIM(I425), FeeTable!$B$1:$H$2, 2, FALSE) * H425, 0)</f>
        <v>8.9819999999999993</v>
      </c>
      <c r="M425" t="str">
        <f t="shared" si="6"/>
        <v>Standard</v>
      </c>
    </row>
    <row r="426" spans="1:13" x14ac:dyDescent="0.3">
      <c r="A426" t="s">
        <v>493</v>
      </c>
      <c r="B426">
        <v>118</v>
      </c>
      <c r="C426">
        <v>16</v>
      </c>
      <c r="D426" t="str">
        <f>IFERROR(VLOOKUP(C426, merchants!$A$2:$D$41, 2, FALSE), "Merchant not found")</f>
        <v>Merchant_016</v>
      </c>
      <c r="E426" t="str">
        <f>IFERROR(VLOOKUP(C426, merchants!$A$2:$D$41, 3, FALSE), "Merchant not found")</f>
        <v>bill_payment</v>
      </c>
      <c r="F426" t="str">
        <f>IFERROR(VLOOKUP(C426, merchants!$A$2:$D$41, 4, FALSE), "Merchant not found")</f>
        <v>West</v>
      </c>
      <c r="G426" s="1">
        <v>46040.536111111112</v>
      </c>
      <c r="H426">
        <v>49</v>
      </c>
      <c r="I426" t="s">
        <v>66</v>
      </c>
      <c r="J426" t="s">
        <v>64</v>
      </c>
      <c r="K426">
        <v>58</v>
      </c>
      <c r="L426">
        <f>IFERROR(HLOOKUP(TRIM(I426), FeeTable!$B$1:$H$2, 2, FALSE) * H426, 0)</f>
        <v>0</v>
      </c>
      <c r="M426" t="str">
        <f t="shared" si="6"/>
        <v>Standard</v>
      </c>
    </row>
    <row r="427" spans="1:13" x14ac:dyDescent="0.3">
      <c r="A427" t="s">
        <v>494</v>
      </c>
      <c r="B427">
        <v>97</v>
      </c>
      <c r="C427">
        <v>8</v>
      </c>
      <c r="D427" t="str">
        <f>IFERROR(VLOOKUP(C427, merchants!$A$2:$D$41, 2, FALSE), "Merchant not found")</f>
        <v>Merchant_008</v>
      </c>
      <c r="E427" t="str">
        <f>IFERROR(VLOOKUP(C427, merchants!$A$2:$D$41, 3, FALSE), "Merchant not found")</f>
        <v>food_delivery</v>
      </c>
      <c r="F427" t="str">
        <f>IFERROR(VLOOKUP(C427, merchants!$A$2:$D$41, 4, FALSE), "Merchant not found")</f>
        <v>North</v>
      </c>
      <c r="G427" s="1">
        <v>46034.178472222222</v>
      </c>
      <c r="H427">
        <v>99</v>
      </c>
      <c r="I427" t="s">
        <v>69</v>
      </c>
      <c r="J427" t="s">
        <v>64</v>
      </c>
      <c r="K427">
        <v>4</v>
      </c>
      <c r="L427">
        <f>IFERROR(HLOOKUP(TRIM(I427), FeeTable!$B$1:$H$2, 2, FALSE) * H427, 0)</f>
        <v>1.4849999999999999</v>
      </c>
      <c r="M427" t="str">
        <f t="shared" si="6"/>
        <v>Standard</v>
      </c>
    </row>
    <row r="428" spans="1:13" x14ac:dyDescent="0.3">
      <c r="A428" t="s">
        <v>495</v>
      </c>
      <c r="B428">
        <v>315</v>
      </c>
      <c r="C428">
        <v>2</v>
      </c>
      <c r="D428" t="str">
        <f>IFERROR(VLOOKUP(C428, merchants!$A$2:$D$41, 2, FALSE), "Merchant not found")</f>
        <v>Merchant_002</v>
      </c>
      <c r="E428" t="str">
        <f>IFERROR(VLOOKUP(C428, merchants!$A$2:$D$41, 3, FALSE), "Merchant not found")</f>
        <v>grocery</v>
      </c>
      <c r="F428" t="str">
        <f>IFERROR(VLOOKUP(C428, merchants!$A$2:$D$41, 4, FALSE), "Merchant not found")</f>
        <v>West</v>
      </c>
      <c r="G428" s="1">
        <v>46048.893055555556</v>
      </c>
      <c r="H428">
        <v>299</v>
      </c>
      <c r="I428" t="s">
        <v>63</v>
      </c>
      <c r="J428" t="s">
        <v>64</v>
      </c>
      <c r="K428">
        <v>30</v>
      </c>
      <c r="L428">
        <f>IFERROR(HLOOKUP(TRIM(I428), FeeTable!$B$1:$H$2, 2, FALSE) * H428, 0)</f>
        <v>3.2889999999999997</v>
      </c>
      <c r="M428" t="str">
        <f t="shared" si="6"/>
        <v>Standard</v>
      </c>
    </row>
    <row r="429" spans="1:13" x14ac:dyDescent="0.3">
      <c r="A429" t="s">
        <v>496</v>
      </c>
      <c r="B429">
        <v>305</v>
      </c>
      <c r="C429">
        <v>3</v>
      </c>
      <c r="D429" t="str">
        <f>IFERROR(VLOOKUP(C429, merchants!$A$2:$D$41, 2, FALSE), "Merchant not found")</f>
        <v>Merchant_003</v>
      </c>
      <c r="E429" t="str">
        <f>IFERROR(VLOOKUP(C429, merchants!$A$2:$D$41, 3, FALSE), "Merchant not found")</f>
        <v>grocery</v>
      </c>
      <c r="F429" t="str">
        <f>IFERROR(VLOOKUP(C429, merchants!$A$2:$D$41, 4, FALSE), "Merchant not found")</f>
        <v>East</v>
      </c>
      <c r="G429" s="1">
        <v>46029.087500000001</v>
      </c>
      <c r="H429">
        <v>299</v>
      </c>
      <c r="I429" t="s">
        <v>66</v>
      </c>
      <c r="J429" t="s">
        <v>64</v>
      </c>
      <c r="K429">
        <v>57</v>
      </c>
      <c r="L429">
        <f>IFERROR(HLOOKUP(TRIM(I429), FeeTable!$B$1:$H$2, 2, FALSE) * H429, 0)</f>
        <v>0</v>
      </c>
      <c r="M429" t="str">
        <f t="shared" si="6"/>
        <v>Standard</v>
      </c>
    </row>
    <row r="430" spans="1:13" x14ac:dyDescent="0.3">
      <c r="A430" t="s">
        <v>497</v>
      </c>
      <c r="B430">
        <v>25</v>
      </c>
      <c r="C430">
        <v>16</v>
      </c>
      <c r="D430" t="str">
        <f>IFERROR(VLOOKUP(C430, merchants!$A$2:$D$41, 2, FALSE), "Merchant not found")</f>
        <v>Merchant_016</v>
      </c>
      <c r="E430" t="str">
        <f>IFERROR(VLOOKUP(C430, merchants!$A$2:$D$41, 3, FALSE), "Merchant not found")</f>
        <v>bill_payment</v>
      </c>
      <c r="F430" t="str">
        <f>IFERROR(VLOOKUP(C430, merchants!$A$2:$D$41, 4, FALSE), "Merchant not found")</f>
        <v>West</v>
      </c>
      <c r="G430" s="1">
        <v>46042.90625</v>
      </c>
      <c r="H430">
        <v>299</v>
      </c>
      <c r="I430" t="s">
        <v>66</v>
      </c>
      <c r="J430" t="s">
        <v>64</v>
      </c>
      <c r="K430">
        <v>94</v>
      </c>
      <c r="L430">
        <f>IFERROR(HLOOKUP(TRIM(I430), FeeTable!$B$1:$H$2, 2, FALSE) * H430, 0)</f>
        <v>0</v>
      </c>
      <c r="M430" t="str">
        <f t="shared" si="6"/>
        <v>Standard</v>
      </c>
    </row>
    <row r="431" spans="1:13" x14ac:dyDescent="0.3">
      <c r="A431" t="s">
        <v>498</v>
      </c>
      <c r="B431">
        <v>120</v>
      </c>
      <c r="C431">
        <v>35</v>
      </c>
      <c r="D431" t="str">
        <f>IFERROR(VLOOKUP(C431, merchants!$A$2:$D$41, 2, FALSE), "Merchant not found")</f>
        <v>Merchant_035</v>
      </c>
      <c r="E431" t="str">
        <f>IFERROR(VLOOKUP(C431, merchants!$A$2:$D$41, 3, FALSE), "Merchant not found")</f>
        <v>recharge</v>
      </c>
      <c r="F431" t="str">
        <f>IFERROR(VLOOKUP(C431, merchants!$A$2:$D$41, 4, FALSE), "Merchant not found")</f>
        <v>East</v>
      </c>
      <c r="G431" s="1">
        <v>46024.519444444442</v>
      </c>
      <c r="H431">
        <v>49</v>
      </c>
      <c r="I431" t="s">
        <v>66</v>
      </c>
      <c r="J431" t="s">
        <v>64</v>
      </c>
      <c r="K431">
        <v>27</v>
      </c>
      <c r="L431">
        <f>IFERROR(HLOOKUP(TRIM(I431), FeeTable!$B$1:$H$2, 2, FALSE) * H431, 0)</f>
        <v>0</v>
      </c>
      <c r="M431" t="str">
        <f t="shared" si="6"/>
        <v>Standard</v>
      </c>
    </row>
    <row r="432" spans="1:13" x14ac:dyDescent="0.3">
      <c r="A432" t="s">
        <v>499</v>
      </c>
      <c r="B432">
        <v>258</v>
      </c>
      <c r="C432">
        <v>19</v>
      </c>
      <c r="D432" t="str">
        <f>IFERROR(VLOOKUP(C432, merchants!$A$2:$D$41, 2, FALSE), "Merchant not found")</f>
        <v>Merchant_019</v>
      </c>
      <c r="E432" t="str">
        <f>IFERROR(VLOOKUP(C432, merchants!$A$2:$D$41, 3, FALSE), "Merchant not found")</f>
        <v>grocery</v>
      </c>
      <c r="F432" t="str">
        <f>IFERROR(VLOOKUP(C432, merchants!$A$2:$D$41, 4, FALSE), "Merchant not found")</f>
        <v>North</v>
      </c>
      <c r="G432" s="1">
        <v>46047.047222222223</v>
      </c>
      <c r="H432">
        <v>49</v>
      </c>
      <c r="I432" t="s">
        <v>63</v>
      </c>
      <c r="J432" t="s">
        <v>64</v>
      </c>
      <c r="K432">
        <v>29</v>
      </c>
      <c r="L432">
        <f>IFERROR(HLOOKUP(TRIM(I432), FeeTable!$B$1:$H$2, 2, FALSE) * H432, 0)</f>
        <v>0.53899999999999992</v>
      </c>
      <c r="M432" t="str">
        <f t="shared" si="6"/>
        <v>Standard</v>
      </c>
    </row>
    <row r="433" spans="1:13" x14ac:dyDescent="0.3">
      <c r="A433" t="s">
        <v>500</v>
      </c>
      <c r="B433">
        <v>164</v>
      </c>
      <c r="C433">
        <v>37</v>
      </c>
      <c r="D433" t="str">
        <f>IFERROR(VLOOKUP(C433, merchants!$A$2:$D$41, 2, FALSE), "Merchant not found")</f>
        <v>Merchant_037</v>
      </c>
      <c r="E433" t="str">
        <f>IFERROR(VLOOKUP(C433, merchants!$A$2:$D$41, 3, FALSE), "Merchant not found")</f>
        <v>entertainment</v>
      </c>
      <c r="F433" t="str">
        <f>IFERROR(VLOOKUP(C433, merchants!$A$2:$D$41, 4, FALSE), "Merchant not found")</f>
        <v>South</v>
      </c>
      <c r="G433" s="1">
        <v>46049.98333333333</v>
      </c>
      <c r="H433">
        <v>799</v>
      </c>
      <c r="I433" t="s">
        <v>66</v>
      </c>
      <c r="J433" t="s">
        <v>64</v>
      </c>
      <c r="K433">
        <v>76</v>
      </c>
      <c r="L433">
        <f>IFERROR(HLOOKUP(TRIM(I433), FeeTable!$B$1:$H$2, 2, FALSE) * H433, 0)</f>
        <v>0</v>
      </c>
      <c r="M433" t="str">
        <f t="shared" si="6"/>
        <v>Standard</v>
      </c>
    </row>
    <row r="434" spans="1:13" x14ac:dyDescent="0.3">
      <c r="A434" t="s">
        <v>501</v>
      </c>
      <c r="B434">
        <v>165</v>
      </c>
      <c r="C434">
        <v>16</v>
      </c>
      <c r="D434" t="str">
        <f>IFERROR(VLOOKUP(C434, merchants!$A$2:$D$41, 2, FALSE), "Merchant not found")</f>
        <v>Merchant_016</v>
      </c>
      <c r="E434" t="str">
        <f>IFERROR(VLOOKUP(C434, merchants!$A$2:$D$41, 3, FALSE), "Merchant not found")</f>
        <v>bill_payment</v>
      </c>
      <c r="F434" t="str">
        <f>IFERROR(VLOOKUP(C434, merchants!$A$2:$D$41, 4, FALSE), "Merchant not found")</f>
        <v>West</v>
      </c>
      <c r="G434" s="1">
        <v>46047.911111111112</v>
      </c>
      <c r="H434">
        <v>49</v>
      </c>
      <c r="I434" t="s">
        <v>63</v>
      </c>
      <c r="J434" t="s">
        <v>64</v>
      </c>
      <c r="K434">
        <v>38</v>
      </c>
      <c r="L434">
        <f>IFERROR(HLOOKUP(TRIM(I434), FeeTable!$B$1:$H$2, 2, FALSE) * H434, 0)</f>
        <v>0.53899999999999992</v>
      </c>
      <c r="M434" t="str">
        <f t="shared" si="6"/>
        <v>Standard</v>
      </c>
    </row>
    <row r="435" spans="1:13" x14ac:dyDescent="0.3">
      <c r="A435" t="s">
        <v>502</v>
      </c>
      <c r="B435">
        <v>267</v>
      </c>
      <c r="C435">
        <v>15</v>
      </c>
      <c r="D435" t="str">
        <f>IFERROR(VLOOKUP(C435, merchants!$A$2:$D$41, 2, FALSE), "Merchant not found")</f>
        <v>Merchant_015</v>
      </c>
      <c r="E435" t="str">
        <f>IFERROR(VLOOKUP(C435, merchants!$A$2:$D$41, 3, FALSE), "Merchant not found")</f>
        <v>travel</v>
      </c>
      <c r="F435" t="str">
        <f>IFERROR(VLOOKUP(C435, merchants!$A$2:$D$41, 4, FALSE), "Merchant not found")</f>
        <v>North</v>
      </c>
      <c r="G435" s="1">
        <v>46051.195833333331</v>
      </c>
      <c r="H435">
        <v>49</v>
      </c>
      <c r="I435" t="s">
        <v>69</v>
      </c>
      <c r="J435" t="s">
        <v>64</v>
      </c>
      <c r="K435">
        <v>52</v>
      </c>
      <c r="L435">
        <f>IFERROR(HLOOKUP(TRIM(I435), FeeTable!$B$1:$H$2, 2, FALSE) * H435, 0)</f>
        <v>0.73499999999999999</v>
      </c>
      <c r="M435" t="str">
        <f t="shared" si="6"/>
        <v>Standard</v>
      </c>
    </row>
    <row r="436" spans="1:13" x14ac:dyDescent="0.3">
      <c r="A436" t="s">
        <v>503</v>
      </c>
      <c r="B436">
        <v>286</v>
      </c>
      <c r="C436">
        <v>38</v>
      </c>
      <c r="D436" t="str">
        <f>IFERROR(VLOOKUP(C436, merchants!$A$2:$D$41, 2, FALSE), "Merchant not found")</f>
        <v>Merchant_038</v>
      </c>
      <c r="E436" t="str">
        <f>IFERROR(VLOOKUP(C436, merchants!$A$2:$D$41, 3, FALSE), "Merchant not found")</f>
        <v>grocery</v>
      </c>
      <c r="F436" t="str">
        <f>IFERROR(VLOOKUP(C436, merchants!$A$2:$D$41, 4, FALSE), "Merchant not found")</f>
        <v>East</v>
      </c>
      <c r="G436" s="1">
        <v>46032.335416666669</v>
      </c>
      <c r="H436">
        <v>299</v>
      </c>
      <c r="I436" t="s">
        <v>63</v>
      </c>
      <c r="J436" t="s">
        <v>64</v>
      </c>
      <c r="K436">
        <v>94</v>
      </c>
      <c r="L436">
        <f>IFERROR(HLOOKUP(TRIM(I436), FeeTable!$B$1:$H$2, 2, FALSE) * H436, 0)</f>
        <v>3.2889999999999997</v>
      </c>
      <c r="M436" t="str">
        <f t="shared" si="6"/>
        <v>Standard</v>
      </c>
    </row>
    <row r="437" spans="1:13" x14ac:dyDescent="0.3">
      <c r="A437" t="s">
        <v>504</v>
      </c>
      <c r="B437">
        <v>348</v>
      </c>
      <c r="C437">
        <v>28</v>
      </c>
      <c r="D437" t="str">
        <f>IFERROR(VLOOKUP(C437, merchants!$A$2:$D$41, 2, FALSE), "Merchant not found")</f>
        <v>Merchant_028</v>
      </c>
      <c r="E437" t="str">
        <f>IFERROR(VLOOKUP(C437, merchants!$A$2:$D$41, 3, FALSE), "Merchant not found")</f>
        <v>ecommerce</v>
      </c>
      <c r="F437" t="str">
        <f>IFERROR(VLOOKUP(C437, merchants!$A$2:$D$41, 4, FALSE), "Merchant not found")</f>
        <v>South</v>
      </c>
      <c r="G437" s="1">
        <v>46052.236111111109</v>
      </c>
      <c r="H437">
        <v>499</v>
      </c>
      <c r="I437" t="s">
        <v>78</v>
      </c>
      <c r="J437" t="s">
        <v>64</v>
      </c>
      <c r="K437">
        <v>71</v>
      </c>
      <c r="L437">
        <f>IFERROR(HLOOKUP(TRIM(I437), FeeTable!$B$1:$H$2, 2, FALSE) * H437, 0)</f>
        <v>8.9819999999999993</v>
      </c>
      <c r="M437" t="str">
        <f t="shared" si="6"/>
        <v>Standard</v>
      </c>
    </row>
    <row r="438" spans="1:13" x14ac:dyDescent="0.3">
      <c r="A438" t="s">
        <v>505</v>
      </c>
      <c r="B438">
        <v>330</v>
      </c>
      <c r="C438">
        <v>25</v>
      </c>
      <c r="D438" t="str">
        <f>IFERROR(VLOOKUP(C438, merchants!$A$2:$D$41, 2, FALSE), "Merchant not found")</f>
        <v>Merchant_025</v>
      </c>
      <c r="E438" t="str">
        <f>IFERROR(VLOOKUP(C438, merchants!$A$2:$D$41, 3, FALSE), "Merchant not found")</f>
        <v>travel</v>
      </c>
      <c r="F438" t="str">
        <f>IFERROR(VLOOKUP(C438, merchants!$A$2:$D$41, 4, FALSE), "Merchant not found")</f>
        <v>South</v>
      </c>
      <c r="G438" s="1">
        <v>46038.056944444441</v>
      </c>
      <c r="H438">
        <v>799</v>
      </c>
      <c r="I438" t="s">
        <v>66</v>
      </c>
      <c r="J438" t="s">
        <v>64</v>
      </c>
      <c r="K438">
        <v>100</v>
      </c>
      <c r="L438">
        <f>IFERROR(HLOOKUP(TRIM(I438), FeeTable!$B$1:$H$2, 2, FALSE) * H438, 0)</f>
        <v>0</v>
      </c>
      <c r="M438" t="str">
        <f t="shared" si="6"/>
        <v>Standard</v>
      </c>
    </row>
    <row r="439" spans="1:13" x14ac:dyDescent="0.3">
      <c r="A439" t="s">
        <v>506</v>
      </c>
      <c r="B439">
        <v>214</v>
      </c>
      <c r="C439">
        <v>27</v>
      </c>
      <c r="D439" t="str">
        <f>IFERROR(VLOOKUP(C439, merchants!$A$2:$D$41, 2, FALSE), "Merchant not found")</f>
        <v>Merchant_027</v>
      </c>
      <c r="E439" t="str">
        <f>IFERROR(VLOOKUP(C439, merchants!$A$2:$D$41, 3, FALSE), "Merchant not found")</f>
        <v>ecommerce</v>
      </c>
      <c r="F439" t="str">
        <f>IFERROR(VLOOKUP(C439, merchants!$A$2:$D$41, 4, FALSE), "Merchant not found")</f>
        <v>North</v>
      </c>
      <c r="G439" s="1">
        <v>46039.447222222225</v>
      </c>
      <c r="H439">
        <v>299</v>
      </c>
      <c r="I439" t="s">
        <v>78</v>
      </c>
      <c r="J439" t="s">
        <v>64</v>
      </c>
      <c r="K439">
        <v>19</v>
      </c>
      <c r="L439">
        <f>IFERROR(HLOOKUP(TRIM(I439), FeeTable!$B$1:$H$2, 2, FALSE) * H439, 0)</f>
        <v>5.3819999999999997</v>
      </c>
      <c r="M439" t="str">
        <f t="shared" si="6"/>
        <v>Standard</v>
      </c>
    </row>
    <row r="440" spans="1:13" x14ac:dyDescent="0.3">
      <c r="A440" t="s">
        <v>507</v>
      </c>
      <c r="B440">
        <v>276</v>
      </c>
      <c r="C440">
        <v>31</v>
      </c>
      <c r="D440" t="str">
        <f>IFERROR(VLOOKUP(C440, merchants!$A$2:$D$41, 2, FALSE), "Merchant not found")</f>
        <v>Merchant_031</v>
      </c>
      <c r="E440" t="str">
        <f>IFERROR(VLOOKUP(C440, merchants!$A$2:$D$41, 3, FALSE), "Merchant not found")</f>
        <v>bill_payment</v>
      </c>
      <c r="F440" t="str">
        <f>IFERROR(VLOOKUP(C440, merchants!$A$2:$D$41, 4, FALSE), "Merchant not found")</f>
        <v>East</v>
      </c>
      <c r="G440" s="1">
        <v>46032.507638888892</v>
      </c>
      <c r="H440">
        <v>499</v>
      </c>
      <c r="I440" t="s">
        <v>66</v>
      </c>
      <c r="J440" t="s">
        <v>64</v>
      </c>
      <c r="K440">
        <v>30</v>
      </c>
      <c r="L440">
        <f>IFERROR(HLOOKUP(TRIM(I440), FeeTable!$B$1:$H$2, 2, FALSE) * H440, 0)</f>
        <v>0</v>
      </c>
      <c r="M440" t="str">
        <f t="shared" si="6"/>
        <v>Standard</v>
      </c>
    </row>
    <row r="441" spans="1:13" x14ac:dyDescent="0.3">
      <c r="A441" t="s">
        <v>508</v>
      </c>
      <c r="B441">
        <v>74</v>
      </c>
      <c r="C441">
        <v>30</v>
      </c>
      <c r="D441" t="str">
        <f>IFERROR(VLOOKUP(C441, merchants!$A$2:$D$41, 2, FALSE), "Merchant not found")</f>
        <v>Merchant_030</v>
      </c>
      <c r="E441" t="str">
        <f>IFERROR(VLOOKUP(C441, merchants!$A$2:$D$41, 3, FALSE), "Merchant not found")</f>
        <v>travel</v>
      </c>
      <c r="F441" t="str">
        <f>IFERROR(VLOOKUP(C441, merchants!$A$2:$D$41, 4, FALSE), "Merchant not found")</f>
        <v>West</v>
      </c>
      <c r="G441" s="1">
        <v>46050.304861111108</v>
      </c>
      <c r="H441">
        <v>49</v>
      </c>
      <c r="I441" t="s">
        <v>66</v>
      </c>
      <c r="J441" t="s">
        <v>64</v>
      </c>
      <c r="K441">
        <v>7</v>
      </c>
      <c r="L441">
        <f>IFERROR(HLOOKUP(TRIM(I441), FeeTable!$B$1:$H$2, 2, FALSE) * H441, 0)</f>
        <v>0</v>
      </c>
      <c r="M441" t="str">
        <f t="shared" si="6"/>
        <v>Standard</v>
      </c>
    </row>
    <row r="442" spans="1:13" x14ac:dyDescent="0.3">
      <c r="A442" t="s">
        <v>509</v>
      </c>
      <c r="B442">
        <v>286</v>
      </c>
      <c r="C442">
        <v>34</v>
      </c>
      <c r="D442" t="str">
        <f>IFERROR(VLOOKUP(C442, merchants!$A$2:$D$41, 2, FALSE), "Merchant not found")</f>
        <v>Merchant_034</v>
      </c>
      <c r="E442" t="str">
        <f>IFERROR(VLOOKUP(C442, merchants!$A$2:$D$41, 3, FALSE), "Merchant not found")</f>
        <v>travel</v>
      </c>
      <c r="F442" t="str">
        <f>IFERROR(VLOOKUP(C442, merchants!$A$2:$D$41, 4, FALSE), "Merchant not found")</f>
        <v>South</v>
      </c>
      <c r="G442" s="1">
        <v>46040.55972222222</v>
      </c>
      <c r="H442">
        <v>49</v>
      </c>
      <c r="I442" t="s">
        <v>78</v>
      </c>
      <c r="J442" t="s">
        <v>64</v>
      </c>
      <c r="K442">
        <v>17</v>
      </c>
      <c r="L442">
        <f>IFERROR(HLOOKUP(TRIM(I442), FeeTable!$B$1:$H$2, 2, FALSE) * H442, 0)</f>
        <v>0.8819999999999999</v>
      </c>
      <c r="M442" t="str">
        <f t="shared" si="6"/>
        <v>Standard</v>
      </c>
    </row>
    <row r="443" spans="1:13" x14ac:dyDescent="0.3">
      <c r="A443" t="s">
        <v>510</v>
      </c>
      <c r="B443">
        <v>105</v>
      </c>
      <c r="C443">
        <v>22</v>
      </c>
      <c r="D443" t="str">
        <f>IFERROR(VLOOKUP(C443, merchants!$A$2:$D$41, 2, FALSE), "Merchant not found")</f>
        <v>Merchant_022</v>
      </c>
      <c r="E443" t="str">
        <f>IFERROR(VLOOKUP(C443, merchants!$A$2:$D$41, 3, FALSE), "Merchant not found")</f>
        <v>travel</v>
      </c>
      <c r="F443" t="str">
        <f>IFERROR(VLOOKUP(C443, merchants!$A$2:$D$41, 4, FALSE), "Merchant not found")</f>
        <v>South</v>
      </c>
      <c r="G443" s="1">
        <v>46035.302777777775</v>
      </c>
      <c r="H443">
        <v>4999</v>
      </c>
      <c r="I443" t="s">
        <v>66</v>
      </c>
      <c r="J443" t="s">
        <v>64</v>
      </c>
      <c r="K443">
        <v>82</v>
      </c>
      <c r="L443">
        <f>IFERROR(HLOOKUP(TRIM(I443), FeeTable!$B$1:$H$2, 2, FALSE) * H443, 0)</f>
        <v>0</v>
      </c>
      <c r="M443" t="str">
        <f t="shared" si="6"/>
        <v>Standard</v>
      </c>
    </row>
    <row r="444" spans="1:13" x14ac:dyDescent="0.3">
      <c r="A444" t="s">
        <v>511</v>
      </c>
      <c r="B444">
        <v>190</v>
      </c>
      <c r="C444">
        <v>6</v>
      </c>
      <c r="D444" t="str">
        <f>IFERROR(VLOOKUP(C444, merchants!$A$2:$D$41, 2, FALSE), "Merchant not found")</f>
        <v>Merchant_006</v>
      </c>
      <c r="E444" t="str">
        <f>IFERROR(VLOOKUP(C444, merchants!$A$2:$D$41, 3, FALSE), "Merchant not found")</f>
        <v>food_delivery</v>
      </c>
      <c r="F444" t="str">
        <f>IFERROR(VLOOKUP(C444, merchants!$A$2:$D$41, 4, FALSE), "Merchant not found")</f>
        <v>South</v>
      </c>
      <c r="G444" s="1">
        <v>46025.620833333334</v>
      </c>
      <c r="H444">
        <v>799</v>
      </c>
      <c r="I444" t="s">
        <v>63</v>
      </c>
      <c r="J444" t="s">
        <v>64</v>
      </c>
      <c r="K444">
        <v>68</v>
      </c>
      <c r="L444">
        <f>IFERROR(HLOOKUP(TRIM(I444), FeeTable!$B$1:$H$2, 2, FALSE) * H444, 0)</f>
        <v>8.7889999999999997</v>
      </c>
      <c r="M444" t="str">
        <f t="shared" si="6"/>
        <v>Standard</v>
      </c>
    </row>
    <row r="445" spans="1:13" x14ac:dyDescent="0.3">
      <c r="A445" t="s">
        <v>512</v>
      </c>
      <c r="B445">
        <v>138</v>
      </c>
      <c r="C445">
        <v>25</v>
      </c>
      <c r="D445" t="str">
        <f>IFERROR(VLOOKUP(C445, merchants!$A$2:$D$41, 2, FALSE), "Merchant not found")</f>
        <v>Merchant_025</v>
      </c>
      <c r="E445" t="str">
        <f>IFERROR(VLOOKUP(C445, merchants!$A$2:$D$41, 3, FALSE), "Merchant not found")</f>
        <v>travel</v>
      </c>
      <c r="F445" t="str">
        <f>IFERROR(VLOOKUP(C445, merchants!$A$2:$D$41, 4, FALSE), "Merchant not found")</f>
        <v>South</v>
      </c>
      <c r="G445" s="1">
        <v>46046.252083333333</v>
      </c>
      <c r="H445">
        <v>299</v>
      </c>
      <c r="I445" t="s">
        <v>63</v>
      </c>
      <c r="J445" t="s">
        <v>64</v>
      </c>
      <c r="K445">
        <v>86</v>
      </c>
      <c r="L445">
        <f>IFERROR(HLOOKUP(TRIM(I445), FeeTable!$B$1:$H$2, 2, FALSE) * H445, 0)</f>
        <v>3.2889999999999997</v>
      </c>
      <c r="M445" t="str">
        <f t="shared" si="6"/>
        <v>Standard</v>
      </c>
    </row>
    <row r="446" spans="1:13" x14ac:dyDescent="0.3">
      <c r="A446" t="s">
        <v>513</v>
      </c>
      <c r="B446">
        <v>38</v>
      </c>
      <c r="C446">
        <v>13</v>
      </c>
      <c r="D446" t="str">
        <f>IFERROR(VLOOKUP(C446, merchants!$A$2:$D$41, 2, FALSE), "Merchant not found")</f>
        <v>Merchant_013</v>
      </c>
      <c r="E446" t="str">
        <f>IFERROR(VLOOKUP(C446, merchants!$A$2:$D$41, 3, FALSE), "Merchant not found")</f>
        <v>travel</v>
      </c>
      <c r="F446" t="str">
        <f>IFERROR(VLOOKUP(C446, merchants!$A$2:$D$41, 4, FALSE), "Merchant not found")</f>
        <v>East</v>
      </c>
      <c r="G446" s="1">
        <v>46042.793055555558</v>
      </c>
      <c r="H446">
        <v>4999</v>
      </c>
      <c r="I446" t="s">
        <v>69</v>
      </c>
      <c r="J446" t="s">
        <v>64</v>
      </c>
      <c r="K446">
        <v>97</v>
      </c>
      <c r="L446">
        <f>IFERROR(HLOOKUP(TRIM(I446), FeeTable!$B$1:$H$2, 2, FALSE) * H446, 0)</f>
        <v>74.984999999999999</v>
      </c>
      <c r="M446" t="str">
        <f t="shared" si="6"/>
        <v>Standard</v>
      </c>
    </row>
    <row r="447" spans="1:13" x14ac:dyDescent="0.3">
      <c r="A447" t="s">
        <v>514</v>
      </c>
      <c r="B447">
        <v>287</v>
      </c>
      <c r="C447">
        <v>14</v>
      </c>
      <c r="D447" t="str">
        <f>IFERROR(VLOOKUP(C447, merchants!$A$2:$D$41, 2, FALSE), "Merchant not found")</f>
        <v>Merchant_014</v>
      </c>
      <c r="E447" t="str">
        <f>IFERROR(VLOOKUP(C447, merchants!$A$2:$D$41, 3, FALSE), "Merchant not found")</f>
        <v>grocery</v>
      </c>
      <c r="F447" t="str">
        <f>IFERROR(VLOOKUP(C447, merchants!$A$2:$D$41, 4, FALSE), "Merchant not found")</f>
        <v>East</v>
      </c>
      <c r="G447" s="1">
        <v>46041.987500000003</v>
      </c>
      <c r="H447">
        <v>99</v>
      </c>
      <c r="I447" t="s">
        <v>63</v>
      </c>
      <c r="J447" t="s">
        <v>64</v>
      </c>
      <c r="K447">
        <v>61</v>
      </c>
      <c r="L447">
        <f>IFERROR(HLOOKUP(TRIM(I447), FeeTable!$B$1:$H$2, 2, FALSE) * H447, 0)</f>
        <v>1.089</v>
      </c>
      <c r="M447" t="str">
        <f t="shared" si="6"/>
        <v>Standard</v>
      </c>
    </row>
    <row r="448" spans="1:13" x14ac:dyDescent="0.3">
      <c r="A448" t="s">
        <v>515</v>
      </c>
      <c r="B448">
        <v>8</v>
      </c>
      <c r="C448">
        <v>14</v>
      </c>
      <c r="D448" t="str">
        <f>IFERROR(VLOOKUP(C448, merchants!$A$2:$D$41, 2, FALSE), "Merchant not found")</f>
        <v>Merchant_014</v>
      </c>
      <c r="E448" t="str">
        <f>IFERROR(VLOOKUP(C448, merchants!$A$2:$D$41, 3, FALSE), "Merchant not found")</f>
        <v>grocery</v>
      </c>
      <c r="F448" t="str">
        <f>IFERROR(VLOOKUP(C448, merchants!$A$2:$D$41, 4, FALSE), "Merchant not found")</f>
        <v>East</v>
      </c>
      <c r="G448" s="1">
        <v>46029.429861111108</v>
      </c>
      <c r="H448">
        <v>49</v>
      </c>
      <c r="I448" t="s">
        <v>66</v>
      </c>
      <c r="J448" t="s">
        <v>64</v>
      </c>
      <c r="K448">
        <v>24</v>
      </c>
      <c r="L448">
        <f>IFERROR(HLOOKUP(TRIM(I448), FeeTable!$B$1:$H$2, 2, FALSE) * H448, 0)</f>
        <v>0</v>
      </c>
      <c r="M448" t="str">
        <f t="shared" si="6"/>
        <v>Standard</v>
      </c>
    </row>
    <row r="449" spans="1:13" x14ac:dyDescent="0.3">
      <c r="A449" t="s">
        <v>516</v>
      </c>
      <c r="B449">
        <v>246</v>
      </c>
      <c r="C449">
        <v>16</v>
      </c>
      <c r="D449" t="str">
        <f>IFERROR(VLOOKUP(C449, merchants!$A$2:$D$41, 2, FALSE), "Merchant not found")</f>
        <v>Merchant_016</v>
      </c>
      <c r="E449" t="str">
        <f>IFERROR(VLOOKUP(C449, merchants!$A$2:$D$41, 3, FALSE), "Merchant not found")</f>
        <v>bill_payment</v>
      </c>
      <c r="F449" t="str">
        <f>IFERROR(VLOOKUP(C449, merchants!$A$2:$D$41, 4, FALSE), "Merchant not found")</f>
        <v>West</v>
      </c>
      <c r="G449" s="1">
        <v>46046.157638888886</v>
      </c>
      <c r="H449">
        <v>1499</v>
      </c>
      <c r="I449" t="s">
        <v>63</v>
      </c>
      <c r="J449" t="s">
        <v>64</v>
      </c>
      <c r="K449">
        <v>89</v>
      </c>
      <c r="L449">
        <f>IFERROR(HLOOKUP(TRIM(I449), FeeTable!$B$1:$H$2, 2, FALSE) * H449, 0)</f>
        <v>16.489000000000001</v>
      </c>
      <c r="M449" t="str">
        <f t="shared" si="6"/>
        <v>Standard</v>
      </c>
    </row>
    <row r="450" spans="1:13" x14ac:dyDescent="0.3">
      <c r="A450" t="s">
        <v>517</v>
      </c>
      <c r="B450">
        <v>204</v>
      </c>
      <c r="C450">
        <v>16</v>
      </c>
      <c r="D450" t="str">
        <f>IFERROR(VLOOKUP(C450, merchants!$A$2:$D$41, 2, FALSE), "Merchant not found")</f>
        <v>Merchant_016</v>
      </c>
      <c r="E450" t="str">
        <f>IFERROR(VLOOKUP(C450, merchants!$A$2:$D$41, 3, FALSE), "Merchant not found")</f>
        <v>bill_payment</v>
      </c>
      <c r="F450" t="str">
        <f>IFERROR(VLOOKUP(C450, merchants!$A$2:$D$41, 4, FALSE), "Merchant not found")</f>
        <v>West</v>
      </c>
      <c r="G450" s="1">
        <v>46042.925694444442</v>
      </c>
      <c r="H450">
        <v>149</v>
      </c>
      <c r="I450" t="s">
        <v>66</v>
      </c>
      <c r="J450" t="s">
        <v>64</v>
      </c>
      <c r="K450">
        <v>70</v>
      </c>
      <c r="L450">
        <f>IFERROR(HLOOKUP(TRIM(I450), FeeTable!$B$1:$H$2, 2, FALSE) * H450, 0)</f>
        <v>0</v>
      </c>
      <c r="M450" t="str">
        <f t="shared" si="6"/>
        <v>Standard</v>
      </c>
    </row>
    <row r="451" spans="1:13" x14ac:dyDescent="0.3">
      <c r="A451" t="s">
        <v>518</v>
      </c>
      <c r="B451">
        <v>239</v>
      </c>
      <c r="C451">
        <v>35</v>
      </c>
      <c r="D451" t="str">
        <f>IFERROR(VLOOKUP(C451, merchants!$A$2:$D$41, 2, FALSE), "Merchant not found")</f>
        <v>Merchant_035</v>
      </c>
      <c r="E451" t="str">
        <f>IFERROR(VLOOKUP(C451, merchants!$A$2:$D$41, 3, FALSE), "Merchant not found")</f>
        <v>recharge</v>
      </c>
      <c r="F451" t="str">
        <f>IFERROR(VLOOKUP(C451, merchants!$A$2:$D$41, 4, FALSE), "Merchant not found")</f>
        <v>East</v>
      </c>
      <c r="G451" s="1">
        <v>46033.39166666667</v>
      </c>
      <c r="H451">
        <v>4999</v>
      </c>
      <c r="I451" t="s">
        <v>66</v>
      </c>
      <c r="J451" t="s">
        <v>64</v>
      </c>
      <c r="K451">
        <v>83</v>
      </c>
      <c r="L451">
        <f>IFERROR(HLOOKUP(TRIM(I451), FeeTable!$B$1:$H$2, 2, FALSE) * H451, 0)</f>
        <v>0</v>
      </c>
      <c r="M451" t="str">
        <f t="shared" ref="M451:M514" si="7">IF(AND(H451 &gt; 5000, F451 &lt;&gt; "East"), "High-Value Merchant Day", "Standard")</f>
        <v>Standard</v>
      </c>
    </row>
    <row r="452" spans="1:13" x14ac:dyDescent="0.3">
      <c r="A452" t="s">
        <v>519</v>
      </c>
      <c r="B452">
        <v>185</v>
      </c>
      <c r="C452">
        <v>33</v>
      </c>
      <c r="D452" t="str">
        <f>IFERROR(VLOOKUP(C452, merchants!$A$2:$D$41, 2, FALSE), "Merchant not found")</f>
        <v>Merchant_033</v>
      </c>
      <c r="E452" t="str">
        <f>IFERROR(VLOOKUP(C452, merchants!$A$2:$D$41, 3, FALSE), "Merchant not found")</f>
        <v>bill_payment</v>
      </c>
      <c r="F452" t="str">
        <f>IFERROR(VLOOKUP(C452, merchants!$A$2:$D$41, 4, FALSE), "Merchant not found")</f>
        <v>East</v>
      </c>
      <c r="G452" s="1">
        <v>46034.386111111111</v>
      </c>
      <c r="H452">
        <v>299</v>
      </c>
      <c r="I452" t="s">
        <v>66</v>
      </c>
      <c r="J452" t="s">
        <v>64</v>
      </c>
      <c r="K452">
        <v>63</v>
      </c>
      <c r="L452">
        <f>IFERROR(HLOOKUP(TRIM(I452), FeeTable!$B$1:$H$2, 2, FALSE) * H452, 0)</f>
        <v>0</v>
      </c>
      <c r="M452" t="str">
        <f t="shared" si="7"/>
        <v>Standard</v>
      </c>
    </row>
    <row r="453" spans="1:13" x14ac:dyDescent="0.3">
      <c r="A453" t="s">
        <v>520</v>
      </c>
      <c r="B453">
        <v>241</v>
      </c>
      <c r="C453">
        <v>21</v>
      </c>
      <c r="D453" t="str">
        <f>IFERROR(VLOOKUP(C453, merchants!$A$2:$D$41, 2, FALSE), "Merchant not found")</f>
        <v>Merchant_021</v>
      </c>
      <c r="E453" t="str">
        <f>IFERROR(VLOOKUP(C453, merchants!$A$2:$D$41, 3, FALSE), "Merchant not found")</f>
        <v>food_delivery</v>
      </c>
      <c r="F453" t="str">
        <f>IFERROR(VLOOKUP(C453, merchants!$A$2:$D$41, 4, FALSE), "Merchant not found")</f>
        <v>East</v>
      </c>
      <c r="G453" s="1">
        <v>46037.160416666666</v>
      </c>
      <c r="H453">
        <v>299</v>
      </c>
      <c r="I453" t="s">
        <v>78</v>
      </c>
      <c r="J453" t="s">
        <v>64</v>
      </c>
      <c r="K453">
        <v>26</v>
      </c>
      <c r="L453">
        <f>IFERROR(HLOOKUP(TRIM(I453), FeeTable!$B$1:$H$2, 2, FALSE) * H453, 0)</f>
        <v>5.3819999999999997</v>
      </c>
      <c r="M453" t="str">
        <f t="shared" si="7"/>
        <v>Standard</v>
      </c>
    </row>
    <row r="454" spans="1:13" x14ac:dyDescent="0.3">
      <c r="A454" t="s">
        <v>521</v>
      </c>
      <c r="B454">
        <v>24</v>
      </c>
      <c r="C454">
        <v>37</v>
      </c>
      <c r="D454" t="str">
        <f>IFERROR(VLOOKUP(C454, merchants!$A$2:$D$41, 2, FALSE), "Merchant not found")</f>
        <v>Merchant_037</v>
      </c>
      <c r="E454" t="str">
        <f>IFERROR(VLOOKUP(C454, merchants!$A$2:$D$41, 3, FALSE), "Merchant not found")</f>
        <v>entertainment</v>
      </c>
      <c r="F454" t="str">
        <f>IFERROR(VLOOKUP(C454, merchants!$A$2:$D$41, 4, FALSE), "Merchant not found")</f>
        <v>South</v>
      </c>
      <c r="G454" s="1">
        <v>46034.43472222222</v>
      </c>
      <c r="H454">
        <v>149</v>
      </c>
      <c r="I454" t="s">
        <v>66</v>
      </c>
      <c r="J454" t="s">
        <v>64</v>
      </c>
      <c r="K454">
        <v>28</v>
      </c>
      <c r="L454">
        <f>IFERROR(HLOOKUP(TRIM(I454), FeeTable!$B$1:$H$2, 2, FALSE) * H454, 0)</f>
        <v>0</v>
      </c>
      <c r="M454" t="str">
        <f t="shared" si="7"/>
        <v>Standard</v>
      </c>
    </row>
    <row r="455" spans="1:13" x14ac:dyDescent="0.3">
      <c r="A455" t="s">
        <v>522</v>
      </c>
      <c r="B455">
        <v>134</v>
      </c>
      <c r="C455">
        <v>36</v>
      </c>
      <c r="D455" t="str">
        <f>IFERROR(VLOOKUP(C455, merchants!$A$2:$D$41, 2, FALSE), "Merchant not found")</f>
        <v>Merchant_036</v>
      </c>
      <c r="E455" t="str">
        <f>IFERROR(VLOOKUP(C455, merchants!$A$2:$D$41, 3, FALSE), "Merchant not found")</f>
        <v>entertainment</v>
      </c>
      <c r="F455" t="str">
        <f>IFERROR(VLOOKUP(C455, merchants!$A$2:$D$41, 4, FALSE), "Merchant not found")</f>
        <v>East</v>
      </c>
      <c r="G455" s="1">
        <v>46046.167361111111</v>
      </c>
      <c r="H455">
        <v>1499</v>
      </c>
      <c r="I455" t="s">
        <v>66</v>
      </c>
      <c r="J455" t="s">
        <v>64</v>
      </c>
      <c r="K455">
        <v>74</v>
      </c>
      <c r="L455">
        <f>IFERROR(HLOOKUP(TRIM(I455), FeeTable!$B$1:$H$2, 2, FALSE) * H455, 0)</f>
        <v>0</v>
      </c>
      <c r="M455" t="str">
        <f t="shared" si="7"/>
        <v>Standard</v>
      </c>
    </row>
    <row r="456" spans="1:13" x14ac:dyDescent="0.3">
      <c r="A456" t="s">
        <v>523</v>
      </c>
      <c r="B456">
        <v>152</v>
      </c>
      <c r="C456">
        <v>10</v>
      </c>
      <c r="D456" t="str">
        <f>IFERROR(VLOOKUP(C456, merchants!$A$2:$D$41, 2, FALSE), "Merchant not found")</f>
        <v>Merchant_010</v>
      </c>
      <c r="E456" t="str">
        <f>IFERROR(VLOOKUP(C456, merchants!$A$2:$D$41, 3, FALSE), "Merchant not found")</f>
        <v>grocery</v>
      </c>
      <c r="F456" t="str">
        <f>IFERROR(VLOOKUP(C456, merchants!$A$2:$D$41, 4, FALSE), "Merchant not found")</f>
        <v>West</v>
      </c>
      <c r="G456" s="1">
        <v>46041.976388888892</v>
      </c>
      <c r="H456">
        <v>499</v>
      </c>
      <c r="I456" t="s">
        <v>63</v>
      </c>
      <c r="J456" t="s">
        <v>64</v>
      </c>
      <c r="K456">
        <v>25</v>
      </c>
      <c r="L456">
        <f>IFERROR(HLOOKUP(TRIM(I456), FeeTable!$B$1:$H$2, 2, FALSE) * H456, 0)</f>
        <v>5.4889999999999999</v>
      </c>
      <c r="M456" t="str">
        <f t="shared" si="7"/>
        <v>Standard</v>
      </c>
    </row>
    <row r="457" spans="1:13" x14ac:dyDescent="0.3">
      <c r="A457" t="s">
        <v>524</v>
      </c>
      <c r="B457">
        <v>292</v>
      </c>
      <c r="C457">
        <v>16</v>
      </c>
      <c r="D457" t="str">
        <f>IFERROR(VLOOKUP(C457, merchants!$A$2:$D$41, 2, FALSE), "Merchant not found")</f>
        <v>Merchant_016</v>
      </c>
      <c r="E457" t="str">
        <f>IFERROR(VLOOKUP(C457, merchants!$A$2:$D$41, 3, FALSE), "Merchant not found")</f>
        <v>bill_payment</v>
      </c>
      <c r="F457" t="str">
        <f>IFERROR(VLOOKUP(C457, merchants!$A$2:$D$41, 4, FALSE), "Merchant not found")</f>
        <v>West</v>
      </c>
      <c r="G457" s="1">
        <v>46033.308333333334</v>
      </c>
      <c r="H457">
        <v>499</v>
      </c>
      <c r="I457" t="s">
        <v>69</v>
      </c>
      <c r="J457" t="s">
        <v>64</v>
      </c>
      <c r="K457">
        <v>63</v>
      </c>
      <c r="L457">
        <f>IFERROR(HLOOKUP(TRIM(I457), FeeTable!$B$1:$H$2, 2, FALSE) * H457, 0)</f>
        <v>7.4849999999999994</v>
      </c>
      <c r="M457" t="str">
        <f t="shared" si="7"/>
        <v>Standard</v>
      </c>
    </row>
    <row r="458" spans="1:13" x14ac:dyDescent="0.3">
      <c r="A458" t="s">
        <v>525</v>
      </c>
      <c r="B458">
        <v>173</v>
      </c>
      <c r="C458">
        <v>17</v>
      </c>
      <c r="D458" t="str">
        <f>IFERROR(VLOOKUP(C458, merchants!$A$2:$D$41, 2, FALSE), "Merchant not found")</f>
        <v>Merchant_017</v>
      </c>
      <c r="E458" t="str">
        <f>IFERROR(VLOOKUP(C458, merchants!$A$2:$D$41, 3, FALSE), "Merchant not found")</f>
        <v>grocery</v>
      </c>
      <c r="F458" t="str">
        <f>IFERROR(VLOOKUP(C458, merchants!$A$2:$D$41, 4, FALSE), "Merchant not found")</f>
        <v>North</v>
      </c>
      <c r="G458" s="1">
        <v>46040.863194444442</v>
      </c>
      <c r="H458">
        <v>99</v>
      </c>
      <c r="I458" t="s">
        <v>69</v>
      </c>
      <c r="J458" t="s">
        <v>64</v>
      </c>
      <c r="K458">
        <v>97</v>
      </c>
      <c r="L458">
        <f>IFERROR(HLOOKUP(TRIM(I458), FeeTable!$B$1:$H$2, 2, FALSE) * H458, 0)</f>
        <v>1.4849999999999999</v>
      </c>
      <c r="M458" t="str">
        <f t="shared" si="7"/>
        <v>Standard</v>
      </c>
    </row>
    <row r="459" spans="1:13" x14ac:dyDescent="0.3">
      <c r="A459" t="s">
        <v>526</v>
      </c>
      <c r="B459">
        <v>329</v>
      </c>
      <c r="C459">
        <v>32</v>
      </c>
      <c r="D459" t="str">
        <f>IFERROR(VLOOKUP(C459, merchants!$A$2:$D$41, 2, FALSE), "Merchant not found")</f>
        <v>Merchant_032</v>
      </c>
      <c r="E459" t="str">
        <f>IFERROR(VLOOKUP(C459, merchants!$A$2:$D$41, 3, FALSE), "Merchant not found")</f>
        <v>food_delivery</v>
      </c>
      <c r="F459" t="str">
        <f>IFERROR(VLOOKUP(C459, merchants!$A$2:$D$41, 4, FALSE), "Merchant not found")</f>
        <v>West</v>
      </c>
      <c r="G459" s="1">
        <v>46049.656944444447</v>
      </c>
      <c r="H459">
        <v>1499</v>
      </c>
      <c r="I459" t="s">
        <v>66</v>
      </c>
      <c r="J459" t="s">
        <v>64</v>
      </c>
      <c r="K459">
        <v>58</v>
      </c>
      <c r="L459">
        <f>IFERROR(HLOOKUP(TRIM(I459), FeeTable!$B$1:$H$2, 2, FALSE) * H459, 0)</f>
        <v>0</v>
      </c>
      <c r="M459" t="str">
        <f t="shared" si="7"/>
        <v>Standard</v>
      </c>
    </row>
    <row r="460" spans="1:13" x14ac:dyDescent="0.3">
      <c r="A460" t="s">
        <v>527</v>
      </c>
      <c r="B460">
        <v>181</v>
      </c>
      <c r="C460">
        <v>11</v>
      </c>
      <c r="D460" t="str">
        <f>IFERROR(VLOOKUP(C460, merchants!$A$2:$D$41, 2, FALSE), "Merchant not found")</f>
        <v>Merchant_011</v>
      </c>
      <c r="E460" t="str">
        <f>IFERROR(VLOOKUP(C460, merchants!$A$2:$D$41, 3, FALSE), "Merchant not found")</f>
        <v>ecommerce</v>
      </c>
      <c r="F460" t="str">
        <f>IFERROR(VLOOKUP(C460, merchants!$A$2:$D$41, 4, FALSE), "Merchant not found")</f>
        <v>North</v>
      </c>
      <c r="G460" s="1">
        <v>46028.993055555555</v>
      </c>
      <c r="H460">
        <v>1499</v>
      </c>
      <c r="I460" t="s">
        <v>66</v>
      </c>
      <c r="J460" t="s">
        <v>64</v>
      </c>
      <c r="K460">
        <v>17</v>
      </c>
      <c r="L460">
        <f>IFERROR(HLOOKUP(TRIM(I460), FeeTable!$B$1:$H$2, 2, FALSE) * H460, 0)</f>
        <v>0</v>
      </c>
      <c r="M460" t="str">
        <f t="shared" si="7"/>
        <v>Standard</v>
      </c>
    </row>
    <row r="461" spans="1:13" x14ac:dyDescent="0.3">
      <c r="A461" t="s">
        <v>528</v>
      </c>
      <c r="B461">
        <v>95</v>
      </c>
      <c r="C461">
        <v>35</v>
      </c>
      <c r="D461" t="str">
        <f>IFERROR(VLOOKUP(C461, merchants!$A$2:$D$41, 2, FALSE), "Merchant not found")</f>
        <v>Merchant_035</v>
      </c>
      <c r="E461" t="str">
        <f>IFERROR(VLOOKUP(C461, merchants!$A$2:$D$41, 3, FALSE), "Merchant not found")</f>
        <v>recharge</v>
      </c>
      <c r="F461" t="str">
        <f>IFERROR(VLOOKUP(C461, merchants!$A$2:$D$41, 4, FALSE), "Merchant not found")</f>
        <v>East</v>
      </c>
      <c r="G461" s="1">
        <v>46046.729861111111</v>
      </c>
      <c r="H461">
        <v>149</v>
      </c>
      <c r="I461" t="s">
        <v>63</v>
      </c>
      <c r="J461" t="s">
        <v>64</v>
      </c>
      <c r="K461">
        <v>82</v>
      </c>
      <c r="L461">
        <f>IFERROR(HLOOKUP(TRIM(I461), FeeTable!$B$1:$H$2, 2, FALSE) * H461, 0)</f>
        <v>1.639</v>
      </c>
      <c r="M461" t="str">
        <f t="shared" si="7"/>
        <v>Standard</v>
      </c>
    </row>
    <row r="462" spans="1:13" x14ac:dyDescent="0.3">
      <c r="A462" t="s">
        <v>529</v>
      </c>
      <c r="B462">
        <v>39</v>
      </c>
      <c r="C462">
        <v>4</v>
      </c>
      <c r="D462" t="str">
        <f>IFERROR(VLOOKUP(C462, merchants!$A$2:$D$41, 2, FALSE), "Merchant not found")</f>
        <v>Merchant_004</v>
      </c>
      <c r="E462" t="str">
        <f>IFERROR(VLOOKUP(C462, merchants!$A$2:$D$41, 3, FALSE), "Merchant not found")</f>
        <v>ecommerce</v>
      </c>
      <c r="F462" t="str">
        <f>IFERROR(VLOOKUP(C462, merchants!$A$2:$D$41, 4, FALSE), "Merchant not found")</f>
        <v>East</v>
      </c>
      <c r="G462" s="1">
        <v>46024.668055555558</v>
      </c>
      <c r="H462">
        <v>149</v>
      </c>
      <c r="I462" t="s">
        <v>69</v>
      </c>
      <c r="J462" t="s">
        <v>64</v>
      </c>
      <c r="K462">
        <v>97</v>
      </c>
      <c r="L462">
        <f>IFERROR(HLOOKUP(TRIM(I462), FeeTable!$B$1:$H$2, 2, FALSE) * H462, 0)</f>
        <v>2.2349999999999999</v>
      </c>
      <c r="M462" t="str">
        <f t="shared" si="7"/>
        <v>Standard</v>
      </c>
    </row>
    <row r="463" spans="1:13" x14ac:dyDescent="0.3">
      <c r="A463" t="s">
        <v>530</v>
      </c>
      <c r="B463">
        <v>323</v>
      </c>
      <c r="C463">
        <v>15</v>
      </c>
      <c r="D463" t="str">
        <f>IFERROR(VLOOKUP(C463, merchants!$A$2:$D$41, 2, FALSE), "Merchant not found")</f>
        <v>Merchant_015</v>
      </c>
      <c r="E463" t="str">
        <f>IFERROR(VLOOKUP(C463, merchants!$A$2:$D$41, 3, FALSE), "Merchant not found")</f>
        <v>travel</v>
      </c>
      <c r="F463" t="str">
        <f>IFERROR(VLOOKUP(C463, merchants!$A$2:$D$41, 4, FALSE), "Merchant not found")</f>
        <v>North</v>
      </c>
      <c r="G463" s="1">
        <v>46023.547222222223</v>
      </c>
      <c r="H463">
        <v>499</v>
      </c>
      <c r="I463" t="s">
        <v>66</v>
      </c>
      <c r="J463" t="s">
        <v>64</v>
      </c>
      <c r="K463">
        <v>8</v>
      </c>
      <c r="L463">
        <f>IFERROR(HLOOKUP(TRIM(I463), FeeTable!$B$1:$H$2, 2, FALSE) * H463, 0)</f>
        <v>0</v>
      </c>
      <c r="M463" t="str">
        <f t="shared" si="7"/>
        <v>Standard</v>
      </c>
    </row>
    <row r="464" spans="1:13" x14ac:dyDescent="0.3">
      <c r="A464" t="s">
        <v>531</v>
      </c>
      <c r="B464">
        <v>112</v>
      </c>
      <c r="C464">
        <v>33</v>
      </c>
      <c r="D464" t="str">
        <f>IFERROR(VLOOKUP(C464, merchants!$A$2:$D$41, 2, FALSE), "Merchant not found")</f>
        <v>Merchant_033</v>
      </c>
      <c r="E464" t="str">
        <f>IFERROR(VLOOKUP(C464, merchants!$A$2:$D$41, 3, FALSE), "Merchant not found")</f>
        <v>bill_payment</v>
      </c>
      <c r="F464" t="str">
        <f>IFERROR(VLOOKUP(C464, merchants!$A$2:$D$41, 4, FALSE), "Merchant not found")</f>
        <v>East</v>
      </c>
      <c r="G464" s="1">
        <v>46045.166666666664</v>
      </c>
      <c r="H464">
        <v>49</v>
      </c>
      <c r="I464" t="s">
        <v>69</v>
      </c>
      <c r="J464" t="s">
        <v>64</v>
      </c>
      <c r="K464">
        <v>58</v>
      </c>
      <c r="L464">
        <f>IFERROR(HLOOKUP(TRIM(I464), FeeTable!$B$1:$H$2, 2, FALSE) * H464, 0)</f>
        <v>0.73499999999999999</v>
      </c>
      <c r="M464" t="str">
        <f t="shared" si="7"/>
        <v>Standard</v>
      </c>
    </row>
    <row r="465" spans="1:13" x14ac:dyDescent="0.3">
      <c r="A465" t="s">
        <v>532</v>
      </c>
      <c r="B465">
        <v>327</v>
      </c>
      <c r="C465">
        <v>40</v>
      </c>
      <c r="D465" t="str">
        <f>IFERROR(VLOOKUP(C465, merchants!$A$2:$D$41, 2, FALSE), "Merchant not found")</f>
        <v>Merchant_040</v>
      </c>
      <c r="E465" t="str">
        <f>IFERROR(VLOOKUP(C465, merchants!$A$2:$D$41, 3, FALSE), "Merchant not found")</f>
        <v>entertainment</v>
      </c>
      <c r="F465" t="str">
        <f>IFERROR(VLOOKUP(C465, merchants!$A$2:$D$41, 4, FALSE), "Merchant not found")</f>
        <v>South</v>
      </c>
      <c r="G465" s="1">
        <v>46034.068749999999</v>
      </c>
      <c r="H465">
        <v>99</v>
      </c>
      <c r="I465" t="s">
        <v>66</v>
      </c>
      <c r="J465" t="s">
        <v>64</v>
      </c>
      <c r="K465">
        <v>61</v>
      </c>
      <c r="L465">
        <f>IFERROR(HLOOKUP(TRIM(I465), FeeTable!$B$1:$H$2, 2, FALSE) * H465, 0)</f>
        <v>0</v>
      </c>
      <c r="M465" t="str">
        <f t="shared" si="7"/>
        <v>Standard</v>
      </c>
    </row>
    <row r="466" spans="1:13" x14ac:dyDescent="0.3">
      <c r="A466" t="s">
        <v>533</v>
      </c>
      <c r="B466">
        <v>4</v>
      </c>
      <c r="C466">
        <v>35</v>
      </c>
      <c r="D466" t="str">
        <f>IFERROR(VLOOKUP(C466, merchants!$A$2:$D$41, 2, FALSE), "Merchant not found")</f>
        <v>Merchant_035</v>
      </c>
      <c r="E466" t="str">
        <f>IFERROR(VLOOKUP(C466, merchants!$A$2:$D$41, 3, FALSE), "Merchant not found")</f>
        <v>recharge</v>
      </c>
      <c r="F466" t="str">
        <f>IFERROR(VLOOKUP(C466, merchants!$A$2:$D$41, 4, FALSE), "Merchant not found")</f>
        <v>East</v>
      </c>
      <c r="G466" s="1">
        <v>46044.625694444447</v>
      </c>
      <c r="H466">
        <v>299</v>
      </c>
      <c r="I466" t="s">
        <v>66</v>
      </c>
      <c r="J466" t="s">
        <v>64</v>
      </c>
      <c r="K466">
        <v>70</v>
      </c>
      <c r="L466">
        <f>IFERROR(HLOOKUP(TRIM(I466), FeeTable!$B$1:$H$2, 2, FALSE) * H466, 0)</f>
        <v>0</v>
      </c>
      <c r="M466" t="str">
        <f t="shared" si="7"/>
        <v>Standard</v>
      </c>
    </row>
    <row r="467" spans="1:13" x14ac:dyDescent="0.3">
      <c r="A467" t="s">
        <v>534</v>
      </c>
      <c r="B467">
        <v>272</v>
      </c>
      <c r="C467">
        <v>18</v>
      </c>
      <c r="D467" t="str">
        <f>IFERROR(VLOOKUP(C467, merchants!$A$2:$D$41, 2, FALSE), "Merchant not found")</f>
        <v>Merchant_018</v>
      </c>
      <c r="E467" t="str">
        <f>IFERROR(VLOOKUP(C467, merchants!$A$2:$D$41, 3, FALSE), "Merchant not found")</f>
        <v>grocery</v>
      </c>
      <c r="F467" t="str">
        <f>IFERROR(VLOOKUP(C467, merchants!$A$2:$D$41, 4, FALSE), "Merchant not found")</f>
        <v>West</v>
      </c>
      <c r="G467" s="1">
        <v>46036.000694444447</v>
      </c>
      <c r="H467">
        <v>149</v>
      </c>
      <c r="I467" t="s">
        <v>66</v>
      </c>
      <c r="J467" t="s">
        <v>64</v>
      </c>
      <c r="K467">
        <v>68</v>
      </c>
      <c r="L467">
        <f>IFERROR(HLOOKUP(TRIM(I467), FeeTable!$B$1:$H$2, 2, FALSE) * H467, 0)</f>
        <v>0</v>
      </c>
      <c r="M467" t="str">
        <f t="shared" si="7"/>
        <v>Standard</v>
      </c>
    </row>
    <row r="468" spans="1:13" x14ac:dyDescent="0.3">
      <c r="A468" t="s">
        <v>535</v>
      </c>
      <c r="B468">
        <v>346</v>
      </c>
      <c r="C468">
        <v>28</v>
      </c>
      <c r="D468" t="str">
        <f>IFERROR(VLOOKUP(C468, merchants!$A$2:$D$41, 2, FALSE), "Merchant not found")</f>
        <v>Merchant_028</v>
      </c>
      <c r="E468" t="str">
        <f>IFERROR(VLOOKUP(C468, merchants!$A$2:$D$41, 3, FALSE), "Merchant not found")</f>
        <v>ecommerce</v>
      </c>
      <c r="F468" t="str">
        <f>IFERROR(VLOOKUP(C468, merchants!$A$2:$D$41, 4, FALSE), "Merchant not found")</f>
        <v>South</v>
      </c>
      <c r="G468" s="1">
        <v>46032.022222222222</v>
      </c>
      <c r="H468">
        <v>499</v>
      </c>
      <c r="I468" t="s">
        <v>66</v>
      </c>
      <c r="J468" t="s">
        <v>64</v>
      </c>
      <c r="K468">
        <v>22</v>
      </c>
      <c r="L468">
        <f>IFERROR(HLOOKUP(TRIM(I468), FeeTable!$B$1:$H$2, 2, FALSE) * H468, 0)</f>
        <v>0</v>
      </c>
      <c r="M468" t="str">
        <f t="shared" si="7"/>
        <v>Standard</v>
      </c>
    </row>
    <row r="469" spans="1:13" x14ac:dyDescent="0.3">
      <c r="A469" t="s">
        <v>536</v>
      </c>
      <c r="B469">
        <v>77</v>
      </c>
      <c r="C469">
        <v>16</v>
      </c>
      <c r="D469" t="str">
        <f>IFERROR(VLOOKUP(C469, merchants!$A$2:$D$41, 2, FALSE), "Merchant not found")</f>
        <v>Merchant_016</v>
      </c>
      <c r="E469" t="str">
        <f>IFERROR(VLOOKUP(C469, merchants!$A$2:$D$41, 3, FALSE), "Merchant not found")</f>
        <v>bill_payment</v>
      </c>
      <c r="F469" t="str">
        <f>IFERROR(VLOOKUP(C469, merchants!$A$2:$D$41, 4, FALSE), "Merchant not found")</f>
        <v>West</v>
      </c>
      <c r="G469" s="1">
        <v>46026.147916666669</v>
      </c>
      <c r="H469">
        <v>49</v>
      </c>
      <c r="I469" t="s">
        <v>63</v>
      </c>
      <c r="J469" t="s">
        <v>64</v>
      </c>
      <c r="K469">
        <v>24</v>
      </c>
      <c r="L469">
        <f>IFERROR(HLOOKUP(TRIM(I469), FeeTable!$B$1:$H$2, 2, FALSE) * H469, 0)</f>
        <v>0.53899999999999992</v>
      </c>
      <c r="M469" t="str">
        <f t="shared" si="7"/>
        <v>Standard</v>
      </c>
    </row>
    <row r="470" spans="1:13" x14ac:dyDescent="0.3">
      <c r="A470" t="s">
        <v>537</v>
      </c>
      <c r="B470">
        <v>182</v>
      </c>
      <c r="C470">
        <v>18</v>
      </c>
      <c r="D470" t="str">
        <f>IFERROR(VLOOKUP(C470, merchants!$A$2:$D$41, 2, FALSE), "Merchant not found")</f>
        <v>Merchant_018</v>
      </c>
      <c r="E470" t="str">
        <f>IFERROR(VLOOKUP(C470, merchants!$A$2:$D$41, 3, FALSE), "Merchant not found")</f>
        <v>grocery</v>
      </c>
      <c r="F470" t="str">
        <f>IFERROR(VLOOKUP(C470, merchants!$A$2:$D$41, 4, FALSE), "Merchant not found")</f>
        <v>West</v>
      </c>
      <c r="G470" s="1">
        <v>46042.677777777775</v>
      </c>
      <c r="H470">
        <v>149</v>
      </c>
      <c r="I470" t="s">
        <v>78</v>
      </c>
      <c r="J470" t="s">
        <v>64</v>
      </c>
      <c r="K470">
        <v>50</v>
      </c>
      <c r="L470">
        <f>IFERROR(HLOOKUP(TRIM(I470), FeeTable!$B$1:$H$2, 2, FALSE) * H470, 0)</f>
        <v>2.6819999999999999</v>
      </c>
      <c r="M470" t="str">
        <f t="shared" si="7"/>
        <v>Standard</v>
      </c>
    </row>
    <row r="471" spans="1:13" x14ac:dyDescent="0.3">
      <c r="A471" t="s">
        <v>538</v>
      </c>
      <c r="B471">
        <v>236</v>
      </c>
      <c r="C471">
        <v>37</v>
      </c>
      <c r="D471" t="str">
        <f>IFERROR(VLOOKUP(C471, merchants!$A$2:$D$41, 2, FALSE), "Merchant not found")</f>
        <v>Merchant_037</v>
      </c>
      <c r="E471" t="str">
        <f>IFERROR(VLOOKUP(C471, merchants!$A$2:$D$41, 3, FALSE), "Merchant not found")</f>
        <v>entertainment</v>
      </c>
      <c r="F471" t="str">
        <f>IFERROR(VLOOKUP(C471, merchants!$A$2:$D$41, 4, FALSE), "Merchant not found")</f>
        <v>South</v>
      </c>
      <c r="G471" s="1">
        <v>46025.475694444445</v>
      </c>
      <c r="H471">
        <v>299</v>
      </c>
      <c r="I471" t="s">
        <v>78</v>
      </c>
      <c r="J471" t="s">
        <v>64</v>
      </c>
      <c r="K471">
        <v>31</v>
      </c>
      <c r="L471">
        <f>IFERROR(HLOOKUP(TRIM(I471), FeeTable!$B$1:$H$2, 2, FALSE) * H471, 0)</f>
        <v>5.3819999999999997</v>
      </c>
      <c r="M471" t="str">
        <f t="shared" si="7"/>
        <v>Standard</v>
      </c>
    </row>
    <row r="472" spans="1:13" x14ac:dyDescent="0.3">
      <c r="A472" t="s">
        <v>539</v>
      </c>
      <c r="B472">
        <v>42</v>
      </c>
      <c r="C472">
        <v>3</v>
      </c>
      <c r="D472" t="str">
        <f>IFERROR(VLOOKUP(C472, merchants!$A$2:$D$41, 2, FALSE), "Merchant not found")</f>
        <v>Merchant_003</v>
      </c>
      <c r="E472" t="str">
        <f>IFERROR(VLOOKUP(C472, merchants!$A$2:$D$41, 3, FALSE), "Merchant not found")</f>
        <v>grocery</v>
      </c>
      <c r="F472" t="str">
        <f>IFERROR(VLOOKUP(C472, merchants!$A$2:$D$41, 4, FALSE), "Merchant not found")</f>
        <v>East</v>
      </c>
      <c r="G472" s="1">
        <v>46045.304861111108</v>
      </c>
      <c r="H472">
        <v>49</v>
      </c>
      <c r="I472" t="s">
        <v>66</v>
      </c>
      <c r="J472" t="s">
        <v>64</v>
      </c>
      <c r="K472">
        <v>11</v>
      </c>
      <c r="L472">
        <f>IFERROR(HLOOKUP(TRIM(I472), FeeTable!$B$1:$H$2, 2, FALSE) * H472, 0)</f>
        <v>0</v>
      </c>
      <c r="M472" t="str">
        <f t="shared" si="7"/>
        <v>Standard</v>
      </c>
    </row>
    <row r="473" spans="1:13" x14ac:dyDescent="0.3">
      <c r="A473" t="s">
        <v>540</v>
      </c>
      <c r="B473">
        <v>283</v>
      </c>
      <c r="C473">
        <v>31</v>
      </c>
      <c r="D473" t="str">
        <f>IFERROR(VLOOKUP(C473, merchants!$A$2:$D$41, 2, FALSE), "Merchant not found")</f>
        <v>Merchant_031</v>
      </c>
      <c r="E473" t="str">
        <f>IFERROR(VLOOKUP(C473, merchants!$A$2:$D$41, 3, FALSE), "Merchant not found")</f>
        <v>bill_payment</v>
      </c>
      <c r="F473" t="str">
        <f>IFERROR(VLOOKUP(C473, merchants!$A$2:$D$41, 4, FALSE), "Merchant not found")</f>
        <v>East</v>
      </c>
      <c r="G473" s="1">
        <v>46035.51666666667</v>
      </c>
      <c r="H473">
        <v>299</v>
      </c>
      <c r="I473" t="s">
        <v>69</v>
      </c>
      <c r="J473" t="s">
        <v>64</v>
      </c>
      <c r="K473">
        <v>7</v>
      </c>
      <c r="L473">
        <f>IFERROR(HLOOKUP(TRIM(I473), FeeTable!$B$1:$H$2, 2, FALSE) * H473, 0)</f>
        <v>4.4849999999999994</v>
      </c>
      <c r="M473" t="str">
        <f t="shared" si="7"/>
        <v>Standard</v>
      </c>
    </row>
    <row r="474" spans="1:13" x14ac:dyDescent="0.3">
      <c r="A474" t="s">
        <v>541</v>
      </c>
      <c r="B474">
        <v>88</v>
      </c>
      <c r="C474">
        <v>6</v>
      </c>
      <c r="D474" t="str">
        <f>IFERROR(VLOOKUP(C474, merchants!$A$2:$D$41, 2, FALSE), "Merchant not found")</f>
        <v>Merchant_006</v>
      </c>
      <c r="E474" t="str">
        <f>IFERROR(VLOOKUP(C474, merchants!$A$2:$D$41, 3, FALSE), "Merchant not found")</f>
        <v>food_delivery</v>
      </c>
      <c r="F474" t="str">
        <f>IFERROR(VLOOKUP(C474, merchants!$A$2:$D$41, 4, FALSE), "Merchant not found")</f>
        <v>South</v>
      </c>
      <c r="G474" s="1">
        <v>46043.030555555553</v>
      </c>
      <c r="H474">
        <v>49</v>
      </c>
      <c r="I474" t="s">
        <v>66</v>
      </c>
      <c r="J474" t="s">
        <v>64</v>
      </c>
      <c r="K474">
        <v>63</v>
      </c>
      <c r="L474">
        <f>IFERROR(HLOOKUP(TRIM(I474), FeeTable!$B$1:$H$2, 2, FALSE) * H474, 0)</f>
        <v>0</v>
      </c>
      <c r="M474" t="str">
        <f t="shared" si="7"/>
        <v>Standard</v>
      </c>
    </row>
    <row r="475" spans="1:13" x14ac:dyDescent="0.3">
      <c r="A475" t="s">
        <v>542</v>
      </c>
      <c r="B475">
        <v>170</v>
      </c>
      <c r="C475">
        <v>37</v>
      </c>
      <c r="D475" t="str">
        <f>IFERROR(VLOOKUP(C475, merchants!$A$2:$D$41, 2, FALSE), "Merchant not found")</f>
        <v>Merchant_037</v>
      </c>
      <c r="E475" t="str">
        <f>IFERROR(VLOOKUP(C475, merchants!$A$2:$D$41, 3, FALSE), "Merchant not found")</f>
        <v>entertainment</v>
      </c>
      <c r="F475" t="str">
        <f>IFERROR(VLOOKUP(C475, merchants!$A$2:$D$41, 4, FALSE), "Merchant not found")</f>
        <v>South</v>
      </c>
      <c r="G475" s="1">
        <v>46050.570138888892</v>
      </c>
      <c r="H475">
        <v>99</v>
      </c>
      <c r="I475" t="s">
        <v>66</v>
      </c>
      <c r="J475" t="s">
        <v>79</v>
      </c>
      <c r="K475">
        <v>12</v>
      </c>
      <c r="L475">
        <f>IFERROR(HLOOKUP(TRIM(I475), FeeTable!$B$1:$H$2, 2, FALSE) * H475, 0)</f>
        <v>0</v>
      </c>
      <c r="M475" t="str">
        <f t="shared" si="7"/>
        <v>Standard</v>
      </c>
    </row>
    <row r="476" spans="1:13" x14ac:dyDescent="0.3">
      <c r="A476" t="s">
        <v>543</v>
      </c>
      <c r="B476">
        <v>22</v>
      </c>
      <c r="C476">
        <v>15</v>
      </c>
      <c r="D476" t="str">
        <f>IFERROR(VLOOKUP(C476, merchants!$A$2:$D$41, 2, FALSE), "Merchant not found")</f>
        <v>Merchant_015</v>
      </c>
      <c r="E476" t="str">
        <f>IFERROR(VLOOKUP(C476, merchants!$A$2:$D$41, 3, FALSE), "Merchant not found")</f>
        <v>travel</v>
      </c>
      <c r="F476" t="str">
        <f>IFERROR(VLOOKUP(C476, merchants!$A$2:$D$41, 4, FALSE), "Merchant not found")</f>
        <v>North</v>
      </c>
      <c r="G476" s="1">
        <v>46051.706944444442</v>
      </c>
      <c r="H476">
        <v>49</v>
      </c>
      <c r="I476" t="s">
        <v>69</v>
      </c>
      <c r="J476" t="s">
        <v>64</v>
      </c>
      <c r="K476">
        <v>27</v>
      </c>
      <c r="L476">
        <f>IFERROR(HLOOKUP(TRIM(I476), FeeTable!$B$1:$H$2, 2, FALSE) * H476, 0)</f>
        <v>0.73499999999999999</v>
      </c>
      <c r="M476" t="str">
        <f t="shared" si="7"/>
        <v>Standard</v>
      </c>
    </row>
    <row r="477" spans="1:13" x14ac:dyDescent="0.3">
      <c r="A477" t="s">
        <v>544</v>
      </c>
      <c r="B477">
        <v>291</v>
      </c>
      <c r="C477">
        <v>31</v>
      </c>
      <c r="D477" t="str">
        <f>IFERROR(VLOOKUP(C477, merchants!$A$2:$D$41, 2, FALSE), "Merchant not found")</f>
        <v>Merchant_031</v>
      </c>
      <c r="E477" t="str">
        <f>IFERROR(VLOOKUP(C477, merchants!$A$2:$D$41, 3, FALSE), "Merchant not found")</f>
        <v>bill_payment</v>
      </c>
      <c r="F477" t="str">
        <f>IFERROR(VLOOKUP(C477, merchants!$A$2:$D$41, 4, FALSE), "Merchant not found")</f>
        <v>East</v>
      </c>
      <c r="G477" s="1">
        <v>46051.955555555556</v>
      </c>
      <c r="H477">
        <v>49</v>
      </c>
      <c r="I477" t="s">
        <v>69</v>
      </c>
      <c r="J477" t="s">
        <v>79</v>
      </c>
      <c r="K477">
        <v>34</v>
      </c>
      <c r="L477">
        <f>IFERROR(HLOOKUP(TRIM(I477), FeeTable!$B$1:$H$2, 2, FALSE) * H477, 0)</f>
        <v>0.73499999999999999</v>
      </c>
      <c r="M477" t="str">
        <f t="shared" si="7"/>
        <v>Standard</v>
      </c>
    </row>
    <row r="478" spans="1:13" x14ac:dyDescent="0.3">
      <c r="A478" t="s">
        <v>545</v>
      </c>
      <c r="B478">
        <v>144</v>
      </c>
      <c r="C478">
        <v>35</v>
      </c>
      <c r="D478" t="str">
        <f>IFERROR(VLOOKUP(C478, merchants!$A$2:$D$41, 2, FALSE), "Merchant not found")</f>
        <v>Merchant_035</v>
      </c>
      <c r="E478" t="str">
        <f>IFERROR(VLOOKUP(C478, merchants!$A$2:$D$41, 3, FALSE), "Merchant not found")</f>
        <v>recharge</v>
      </c>
      <c r="F478" t="str">
        <f>IFERROR(VLOOKUP(C478, merchants!$A$2:$D$41, 4, FALSE), "Merchant not found")</f>
        <v>East</v>
      </c>
      <c r="G478" s="1">
        <v>46024.113194444442</v>
      </c>
      <c r="H478">
        <v>1499</v>
      </c>
      <c r="I478" t="s">
        <v>66</v>
      </c>
      <c r="J478" t="s">
        <v>64</v>
      </c>
      <c r="K478">
        <v>72</v>
      </c>
      <c r="L478">
        <f>IFERROR(HLOOKUP(TRIM(I478), FeeTable!$B$1:$H$2, 2, FALSE) * H478, 0)</f>
        <v>0</v>
      </c>
      <c r="M478" t="str">
        <f t="shared" si="7"/>
        <v>Standard</v>
      </c>
    </row>
    <row r="479" spans="1:13" x14ac:dyDescent="0.3">
      <c r="A479" t="s">
        <v>546</v>
      </c>
      <c r="B479">
        <v>162</v>
      </c>
      <c r="C479">
        <v>2</v>
      </c>
      <c r="D479" t="str">
        <f>IFERROR(VLOOKUP(C479, merchants!$A$2:$D$41, 2, FALSE), "Merchant not found")</f>
        <v>Merchant_002</v>
      </c>
      <c r="E479" t="str">
        <f>IFERROR(VLOOKUP(C479, merchants!$A$2:$D$41, 3, FALSE), "Merchant not found")</f>
        <v>grocery</v>
      </c>
      <c r="F479" t="str">
        <f>IFERROR(VLOOKUP(C479, merchants!$A$2:$D$41, 4, FALSE), "Merchant not found")</f>
        <v>West</v>
      </c>
      <c r="G479" s="1">
        <v>46044.049305555556</v>
      </c>
      <c r="H479">
        <v>299</v>
      </c>
      <c r="I479" t="s">
        <v>63</v>
      </c>
      <c r="J479" t="s">
        <v>64</v>
      </c>
      <c r="K479">
        <v>26</v>
      </c>
      <c r="L479">
        <f>IFERROR(HLOOKUP(TRIM(I479), FeeTable!$B$1:$H$2, 2, FALSE) * H479, 0)</f>
        <v>3.2889999999999997</v>
      </c>
      <c r="M479" t="str">
        <f t="shared" si="7"/>
        <v>Standard</v>
      </c>
    </row>
    <row r="480" spans="1:13" x14ac:dyDescent="0.3">
      <c r="A480" t="s">
        <v>547</v>
      </c>
      <c r="B480">
        <v>204</v>
      </c>
      <c r="C480">
        <v>5</v>
      </c>
      <c r="D480" t="str">
        <f>IFERROR(VLOOKUP(C480, merchants!$A$2:$D$41, 2, FALSE), "Merchant not found")</f>
        <v>Merchant_005</v>
      </c>
      <c r="E480" t="str">
        <f>IFERROR(VLOOKUP(C480, merchants!$A$2:$D$41, 3, FALSE), "Merchant not found")</f>
        <v>recharge</v>
      </c>
      <c r="F480" t="str">
        <f>IFERROR(VLOOKUP(C480, merchants!$A$2:$D$41, 4, FALSE), "Merchant not found")</f>
        <v>South</v>
      </c>
      <c r="G480" s="1">
        <v>46041.2</v>
      </c>
      <c r="H480">
        <v>49</v>
      </c>
      <c r="I480" t="s">
        <v>66</v>
      </c>
      <c r="J480" t="s">
        <v>64</v>
      </c>
      <c r="K480">
        <v>38</v>
      </c>
      <c r="L480">
        <f>IFERROR(HLOOKUP(TRIM(I480), FeeTable!$B$1:$H$2, 2, FALSE) * H480, 0)</f>
        <v>0</v>
      </c>
      <c r="M480" t="str">
        <f t="shared" si="7"/>
        <v>Standard</v>
      </c>
    </row>
    <row r="481" spans="1:13" x14ac:dyDescent="0.3">
      <c r="A481" t="s">
        <v>548</v>
      </c>
      <c r="B481">
        <v>291</v>
      </c>
      <c r="C481">
        <v>25</v>
      </c>
      <c r="D481" t="str">
        <f>IFERROR(VLOOKUP(C481, merchants!$A$2:$D$41, 2, FALSE), "Merchant not found")</f>
        <v>Merchant_025</v>
      </c>
      <c r="E481" t="str">
        <f>IFERROR(VLOOKUP(C481, merchants!$A$2:$D$41, 3, FALSE), "Merchant not found")</f>
        <v>travel</v>
      </c>
      <c r="F481" t="str">
        <f>IFERROR(VLOOKUP(C481, merchants!$A$2:$D$41, 4, FALSE), "Merchant not found")</f>
        <v>South</v>
      </c>
      <c r="G481" s="1">
        <v>46028.760416666664</v>
      </c>
      <c r="H481">
        <v>99</v>
      </c>
      <c r="I481" t="s">
        <v>63</v>
      </c>
      <c r="J481" t="s">
        <v>64</v>
      </c>
      <c r="K481">
        <v>86</v>
      </c>
      <c r="L481">
        <f>IFERROR(HLOOKUP(TRIM(I481), FeeTable!$B$1:$H$2, 2, FALSE) * H481, 0)</f>
        <v>1.089</v>
      </c>
      <c r="M481" t="str">
        <f t="shared" si="7"/>
        <v>Standard</v>
      </c>
    </row>
    <row r="482" spans="1:13" x14ac:dyDescent="0.3">
      <c r="A482" t="s">
        <v>549</v>
      </c>
      <c r="B482">
        <v>197</v>
      </c>
      <c r="C482">
        <v>9</v>
      </c>
      <c r="D482" t="str">
        <f>IFERROR(VLOOKUP(C482, merchants!$A$2:$D$41, 2, FALSE), "Merchant not found")</f>
        <v>Merchant_009</v>
      </c>
      <c r="E482" t="str">
        <f>IFERROR(VLOOKUP(C482, merchants!$A$2:$D$41, 3, FALSE), "Merchant not found")</f>
        <v>ecommerce</v>
      </c>
      <c r="F482" t="str">
        <f>IFERROR(VLOOKUP(C482, merchants!$A$2:$D$41, 4, FALSE), "Merchant not found")</f>
        <v>North</v>
      </c>
      <c r="G482" s="1">
        <v>46051.722916666666</v>
      </c>
      <c r="H482">
        <v>49</v>
      </c>
      <c r="I482" t="s">
        <v>63</v>
      </c>
      <c r="J482" t="s">
        <v>79</v>
      </c>
      <c r="K482">
        <v>88</v>
      </c>
      <c r="L482">
        <f>IFERROR(HLOOKUP(TRIM(I482), FeeTable!$B$1:$H$2, 2, FALSE) * H482, 0)</f>
        <v>0.53899999999999992</v>
      </c>
      <c r="M482" t="str">
        <f t="shared" si="7"/>
        <v>Standard</v>
      </c>
    </row>
    <row r="483" spans="1:13" x14ac:dyDescent="0.3">
      <c r="A483" t="s">
        <v>550</v>
      </c>
      <c r="B483">
        <v>178</v>
      </c>
      <c r="C483">
        <v>4</v>
      </c>
      <c r="D483" t="str">
        <f>IFERROR(VLOOKUP(C483, merchants!$A$2:$D$41, 2, FALSE), "Merchant not found")</f>
        <v>Merchant_004</v>
      </c>
      <c r="E483" t="str">
        <f>IFERROR(VLOOKUP(C483, merchants!$A$2:$D$41, 3, FALSE), "Merchant not found")</f>
        <v>ecommerce</v>
      </c>
      <c r="F483" t="str">
        <f>IFERROR(VLOOKUP(C483, merchants!$A$2:$D$41, 4, FALSE), "Merchant not found")</f>
        <v>East</v>
      </c>
      <c r="G483" s="1">
        <v>46046.105555555558</v>
      </c>
      <c r="H483">
        <v>1499</v>
      </c>
      <c r="I483" t="s">
        <v>66</v>
      </c>
      <c r="J483" t="s">
        <v>64</v>
      </c>
      <c r="K483">
        <v>12</v>
      </c>
      <c r="L483">
        <f>IFERROR(HLOOKUP(TRIM(I483), FeeTable!$B$1:$H$2, 2, FALSE) * H483, 0)</f>
        <v>0</v>
      </c>
      <c r="M483" t="str">
        <f t="shared" si="7"/>
        <v>Standard</v>
      </c>
    </row>
    <row r="484" spans="1:13" x14ac:dyDescent="0.3">
      <c r="A484" t="s">
        <v>551</v>
      </c>
      <c r="B484">
        <v>39</v>
      </c>
      <c r="C484">
        <v>22</v>
      </c>
      <c r="D484" t="str">
        <f>IFERROR(VLOOKUP(C484, merchants!$A$2:$D$41, 2, FALSE), "Merchant not found")</f>
        <v>Merchant_022</v>
      </c>
      <c r="E484" t="str">
        <f>IFERROR(VLOOKUP(C484, merchants!$A$2:$D$41, 3, FALSE), "Merchant not found")</f>
        <v>travel</v>
      </c>
      <c r="F484" t="str">
        <f>IFERROR(VLOOKUP(C484, merchants!$A$2:$D$41, 4, FALSE), "Merchant not found")</f>
        <v>South</v>
      </c>
      <c r="G484" s="1">
        <v>46036.328472222223</v>
      </c>
      <c r="H484">
        <v>799</v>
      </c>
      <c r="I484" t="s">
        <v>69</v>
      </c>
      <c r="J484" t="s">
        <v>64</v>
      </c>
      <c r="K484">
        <v>77</v>
      </c>
      <c r="L484">
        <f>IFERROR(HLOOKUP(TRIM(I484), FeeTable!$B$1:$H$2, 2, FALSE) * H484, 0)</f>
        <v>11.984999999999999</v>
      </c>
      <c r="M484" t="str">
        <f t="shared" si="7"/>
        <v>Standard</v>
      </c>
    </row>
    <row r="485" spans="1:13" x14ac:dyDescent="0.3">
      <c r="A485" t="s">
        <v>552</v>
      </c>
      <c r="B485">
        <v>204</v>
      </c>
      <c r="C485">
        <v>21</v>
      </c>
      <c r="D485" t="str">
        <f>IFERROR(VLOOKUP(C485, merchants!$A$2:$D$41, 2, FALSE), "Merchant not found")</f>
        <v>Merchant_021</v>
      </c>
      <c r="E485" t="str">
        <f>IFERROR(VLOOKUP(C485, merchants!$A$2:$D$41, 3, FALSE), "Merchant not found")</f>
        <v>food_delivery</v>
      </c>
      <c r="F485" t="str">
        <f>IFERROR(VLOOKUP(C485, merchants!$A$2:$D$41, 4, FALSE), "Merchant not found")</f>
        <v>East</v>
      </c>
      <c r="G485" s="1">
        <v>46047.818055555559</v>
      </c>
      <c r="H485">
        <v>299</v>
      </c>
      <c r="I485" t="s">
        <v>63</v>
      </c>
      <c r="J485" t="s">
        <v>64</v>
      </c>
      <c r="K485">
        <v>3</v>
      </c>
      <c r="L485">
        <f>IFERROR(HLOOKUP(TRIM(I485), FeeTable!$B$1:$H$2, 2, FALSE) * H485, 0)</f>
        <v>3.2889999999999997</v>
      </c>
      <c r="M485" t="str">
        <f t="shared" si="7"/>
        <v>Standard</v>
      </c>
    </row>
    <row r="486" spans="1:13" x14ac:dyDescent="0.3">
      <c r="A486" t="s">
        <v>553</v>
      </c>
      <c r="B486">
        <v>231</v>
      </c>
      <c r="C486">
        <v>32</v>
      </c>
      <c r="D486" t="str">
        <f>IFERROR(VLOOKUP(C486, merchants!$A$2:$D$41, 2, FALSE), "Merchant not found")</f>
        <v>Merchant_032</v>
      </c>
      <c r="E486" t="str">
        <f>IFERROR(VLOOKUP(C486, merchants!$A$2:$D$41, 3, FALSE), "Merchant not found")</f>
        <v>food_delivery</v>
      </c>
      <c r="F486" t="str">
        <f>IFERROR(VLOOKUP(C486, merchants!$A$2:$D$41, 4, FALSE), "Merchant not found")</f>
        <v>West</v>
      </c>
      <c r="G486" s="1">
        <v>46043.368055555555</v>
      </c>
      <c r="H486">
        <v>299</v>
      </c>
      <c r="I486" t="s">
        <v>66</v>
      </c>
      <c r="J486" t="s">
        <v>64</v>
      </c>
      <c r="K486">
        <v>29</v>
      </c>
      <c r="L486">
        <f>IFERROR(HLOOKUP(TRIM(I486), FeeTable!$B$1:$H$2, 2, FALSE) * H486, 0)</f>
        <v>0</v>
      </c>
      <c r="M486" t="str">
        <f t="shared" si="7"/>
        <v>Standard</v>
      </c>
    </row>
    <row r="487" spans="1:13" x14ac:dyDescent="0.3">
      <c r="A487" t="s">
        <v>554</v>
      </c>
      <c r="B487">
        <v>222</v>
      </c>
      <c r="C487">
        <v>12</v>
      </c>
      <c r="D487" t="str">
        <f>IFERROR(VLOOKUP(C487, merchants!$A$2:$D$41, 2, FALSE), "Merchant not found")</f>
        <v>Merchant_012</v>
      </c>
      <c r="E487" t="str">
        <f>IFERROR(VLOOKUP(C487, merchants!$A$2:$D$41, 3, FALSE), "Merchant not found")</f>
        <v>ecommerce</v>
      </c>
      <c r="F487" t="str">
        <f>IFERROR(VLOOKUP(C487, merchants!$A$2:$D$41, 4, FALSE), "Merchant not found")</f>
        <v>East</v>
      </c>
      <c r="G487" s="1">
        <v>46034.724999999999</v>
      </c>
      <c r="H487">
        <v>499</v>
      </c>
      <c r="I487" t="s">
        <v>63</v>
      </c>
      <c r="J487" t="s">
        <v>79</v>
      </c>
      <c r="K487">
        <v>87</v>
      </c>
      <c r="L487">
        <f>IFERROR(HLOOKUP(TRIM(I487), FeeTable!$B$1:$H$2, 2, FALSE) * H487, 0)</f>
        <v>5.4889999999999999</v>
      </c>
      <c r="M487" t="str">
        <f t="shared" si="7"/>
        <v>Standard</v>
      </c>
    </row>
    <row r="488" spans="1:13" x14ac:dyDescent="0.3">
      <c r="A488" t="s">
        <v>555</v>
      </c>
      <c r="B488">
        <v>44</v>
      </c>
      <c r="C488">
        <v>40</v>
      </c>
      <c r="D488" t="str">
        <f>IFERROR(VLOOKUP(C488, merchants!$A$2:$D$41, 2, FALSE), "Merchant not found")</f>
        <v>Merchant_040</v>
      </c>
      <c r="E488" t="str">
        <f>IFERROR(VLOOKUP(C488, merchants!$A$2:$D$41, 3, FALSE), "Merchant not found")</f>
        <v>entertainment</v>
      </c>
      <c r="F488" t="str">
        <f>IFERROR(VLOOKUP(C488, merchants!$A$2:$D$41, 4, FALSE), "Merchant not found")</f>
        <v>South</v>
      </c>
      <c r="G488" s="1">
        <v>46041.89166666667</v>
      </c>
      <c r="H488">
        <v>499</v>
      </c>
      <c r="I488" t="s">
        <v>66</v>
      </c>
      <c r="J488" t="s">
        <v>64</v>
      </c>
      <c r="K488">
        <v>37</v>
      </c>
      <c r="L488">
        <f>IFERROR(HLOOKUP(TRIM(I488), FeeTable!$B$1:$H$2, 2, FALSE) * H488, 0)</f>
        <v>0</v>
      </c>
      <c r="M488" t="str">
        <f t="shared" si="7"/>
        <v>Standard</v>
      </c>
    </row>
    <row r="489" spans="1:13" x14ac:dyDescent="0.3">
      <c r="A489" t="s">
        <v>556</v>
      </c>
      <c r="B489">
        <v>38</v>
      </c>
      <c r="C489">
        <v>6</v>
      </c>
      <c r="D489" t="str">
        <f>IFERROR(VLOOKUP(C489, merchants!$A$2:$D$41, 2, FALSE), "Merchant not found")</f>
        <v>Merchant_006</v>
      </c>
      <c r="E489" t="str">
        <f>IFERROR(VLOOKUP(C489, merchants!$A$2:$D$41, 3, FALSE), "Merchant not found")</f>
        <v>food_delivery</v>
      </c>
      <c r="F489" t="str">
        <f>IFERROR(VLOOKUP(C489, merchants!$A$2:$D$41, 4, FALSE), "Merchant not found")</f>
        <v>South</v>
      </c>
      <c r="G489" s="1">
        <v>46048.322916666664</v>
      </c>
      <c r="H489">
        <v>49</v>
      </c>
      <c r="I489" t="s">
        <v>63</v>
      </c>
      <c r="J489" t="s">
        <v>64</v>
      </c>
      <c r="K489">
        <v>34</v>
      </c>
      <c r="L489">
        <f>IFERROR(HLOOKUP(TRIM(I489), FeeTable!$B$1:$H$2, 2, FALSE) * H489, 0)</f>
        <v>0.53899999999999992</v>
      </c>
      <c r="M489" t="str">
        <f t="shared" si="7"/>
        <v>Standard</v>
      </c>
    </row>
    <row r="490" spans="1:13" x14ac:dyDescent="0.3">
      <c r="A490" t="s">
        <v>557</v>
      </c>
      <c r="B490">
        <v>325</v>
      </c>
      <c r="C490">
        <v>10</v>
      </c>
      <c r="D490" t="str">
        <f>IFERROR(VLOOKUP(C490, merchants!$A$2:$D$41, 2, FALSE), "Merchant not found")</f>
        <v>Merchant_010</v>
      </c>
      <c r="E490" t="str">
        <f>IFERROR(VLOOKUP(C490, merchants!$A$2:$D$41, 3, FALSE), "Merchant not found")</f>
        <v>grocery</v>
      </c>
      <c r="F490" t="str">
        <f>IFERROR(VLOOKUP(C490, merchants!$A$2:$D$41, 4, FALSE), "Merchant not found")</f>
        <v>West</v>
      </c>
      <c r="G490" s="1">
        <v>46027.53125</v>
      </c>
      <c r="H490">
        <v>49</v>
      </c>
      <c r="I490" t="s">
        <v>69</v>
      </c>
      <c r="J490" t="s">
        <v>92</v>
      </c>
      <c r="K490">
        <v>94</v>
      </c>
      <c r="L490">
        <f>IFERROR(HLOOKUP(TRIM(I490), FeeTable!$B$1:$H$2, 2, FALSE) * H490, 0)</f>
        <v>0.73499999999999999</v>
      </c>
      <c r="M490" t="str">
        <f t="shared" si="7"/>
        <v>Standard</v>
      </c>
    </row>
    <row r="491" spans="1:13" x14ac:dyDescent="0.3">
      <c r="A491" t="s">
        <v>558</v>
      </c>
      <c r="B491">
        <v>55</v>
      </c>
      <c r="C491">
        <v>6</v>
      </c>
      <c r="D491" t="str">
        <f>IFERROR(VLOOKUP(C491, merchants!$A$2:$D$41, 2, FALSE), "Merchant not found")</f>
        <v>Merchant_006</v>
      </c>
      <c r="E491" t="str">
        <f>IFERROR(VLOOKUP(C491, merchants!$A$2:$D$41, 3, FALSE), "Merchant not found")</f>
        <v>food_delivery</v>
      </c>
      <c r="F491" t="str">
        <f>IFERROR(VLOOKUP(C491, merchants!$A$2:$D$41, 4, FALSE), "Merchant not found")</f>
        <v>South</v>
      </c>
      <c r="G491" s="1">
        <v>46035.432638888888</v>
      </c>
      <c r="H491">
        <v>1499</v>
      </c>
      <c r="I491" t="s">
        <v>78</v>
      </c>
      <c r="J491" t="s">
        <v>64</v>
      </c>
      <c r="K491">
        <v>0</v>
      </c>
      <c r="L491">
        <f>IFERROR(HLOOKUP(TRIM(I491), FeeTable!$B$1:$H$2, 2, FALSE) * H491, 0)</f>
        <v>26.981999999999999</v>
      </c>
      <c r="M491" t="str">
        <f t="shared" si="7"/>
        <v>Standard</v>
      </c>
    </row>
    <row r="492" spans="1:13" x14ac:dyDescent="0.3">
      <c r="A492" t="s">
        <v>559</v>
      </c>
      <c r="B492">
        <v>139</v>
      </c>
      <c r="C492">
        <v>7</v>
      </c>
      <c r="D492" t="str">
        <f>IFERROR(VLOOKUP(C492, merchants!$A$2:$D$41, 2, FALSE), "Merchant not found")</f>
        <v>Merchant_007</v>
      </c>
      <c r="E492" t="str">
        <f>IFERROR(VLOOKUP(C492, merchants!$A$2:$D$41, 3, FALSE), "Merchant not found")</f>
        <v>food_delivery</v>
      </c>
      <c r="F492" t="str">
        <f>IFERROR(VLOOKUP(C492, merchants!$A$2:$D$41, 4, FALSE), "Merchant not found")</f>
        <v>East</v>
      </c>
      <c r="G492" s="1">
        <v>46032.599305555559</v>
      </c>
      <c r="H492">
        <v>499</v>
      </c>
      <c r="I492" t="s">
        <v>78</v>
      </c>
      <c r="J492" t="s">
        <v>64</v>
      </c>
      <c r="K492">
        <v>16</v>
      </c>
      <c r="L492">
        <f>IFERROR(HLOOKUP(TRIM(I492), FeeTable!$B$1:$H$2, 2, FALSE) * H492, 0)</f>
        <v>8.9819999999999993</v>
      </c>
      <c r="M492" t="str">
        <f t="shared" si="7"/>
        <v>Standard</v>
      </c>
    </row>
    <row r="493" spans="1:13" x14ac:dyDescent="0.3">
      <c r="A493" t="s">
        <v>560</v>
      </c>
      <c r="B493">
        <v>230</v>
      </c>
      <c r="C493">
        <v>36</v>
      </c>
      <c r="D493" t="str">
        <f>IFERROR(VLOOKUP(C493, merchants!$A$2:$D$41, 2, FALSE), "Merchant not found")</f>
        <v>Merchant_036</v>
      </c>
      <c r="E493" t="str">
        <f>IFERROR(VLOOKUP(C493, merchants!$A$2:$D$41, 3, FALSE), "Merchant not found")</f>
        <v>entertainment</v>
      </c>
      <c r="F493" t="str">
        <f>IFERROR(VLOOKUP(C493, merchants!$A$2:$D$41, 4, FALSE), "Merchant not found")</f>
        <v>East</v>
      </c>
      <c r="G493" s="1">
        <v>46025.227083333331</v>
      </c>
      <c r="H493">
        <v>99</v>
      </c>
      <c r="I493" t="s">
        <v>63</v>
      </c>
      <c r="J493" t="s">
        <v>64</v>
      </c>
      <c r="K493">
        <v>71</v>
      </c>
      <c r="L493">
        <f>IFERROR(HLOOKUP(TRIM(I493), FeeTable!$B$1:$H$2, 2, FALSE) * H493, 0)</f>
        <v>1.089</v>
      </c>
      <c r="M493" t="str">
        <f t="shared" si="7"/>
        <v>Standard</v>
      </c>
    </row>
    <row r="494" spans="1:13" x14ac:dyDescent="0.3">
      <c r="A494" t="s">
        <v>561</v>
      </c>
      <c r="B494">
        <v>14</v>
      </c>
      <c r="C494">
        <v>6</v>
      </c>
      <c r="D494" t="str">
        <f>IFERROR(VLOOKUP(C494, merchants!$A$2:$D$41, 2, FALSE), "Merchant not found")</f>
        <v>Merchant_006</v>
      </c>
      <c r="E494" t="str">
        <f>IFERROR(VLOOKUP(C494, merchants!$A$2:$D$41, 3, FALSE), "Merchant not found")</f>
        <v>food_delivery</v>
      </c>
      <c r="F494" t="str">
        <f>IFERROR(VLOOKUP(C494, merchants!$A$2:$D$41, 4, FALSE), "Merchant not found")</f>
        <v>South</v>
      </c>
      <c r="G494" s="1">
        <v>46039.54583333333</v>
      </c>
      <c r="H494">
        <v>799</v>
      </c>
      <c r="I494" t="s">
        <v>78</v>
      </c>
      <c r="J494" t="s">
        <v>64</v>
      </c>
      <c r="K494">
        <v>45</v>
      </c>
      <c r="L494">
        <f>IFERROR(HLOOKUP(TRIM(I494), FeeTable!$B$1:$H$2, 2, FALSE) * H494, 0)</f>
        <v>14.382</v>
      </c>
      <c r="M494" t="str">
        <f t="shared" si="7"/>
        <v>Standard</v>
      </c>
    </row>
    <row r="495" spans="1:13" x14ac:dyDescent="0.3">
      <c r="A495" t="s">
        <v>562</v>
      </c>
      <c r="B495">
        <v>307</v>
      </c>
      <c r="C495">
        <v>21</v>
      </c>
      <c r="D495" t="str">
        <f>IFERROR(VLOOKUP(C495, merchants!$A$2:$D$41, 2, FALSE), "Merchant not found")</f>
        <v>Merchant_021</v>
      </c>
      <c r="E495" t="str">
        <f>IFERROR(VLOOKUP(C495, merchants!$A$2:$D$41, 3, FALSE), "Merchant not found")</f>
        <v>food_delivery</v>
      </c>
      <c r="F495" t="str">
        <f>IFERROR(VLOOKUP(C495, merchants!$A$2:$D$41, 4, FALSE), "Merchant not found")</f>
        <v>East</v>
      </c>
      <c r="G495" s="1">
        <v>46040.109722222223</v>
      </c>
      <c r="H495">
        <v>799</v>
      </c>
      <c r="I495" t="s">
        <v>66</v>
      </c>
      <c r="J495" t="s">
        <v>64</v>
      </c>
      <c r="K495">
        <v>49</v>
      </c>
      <c r="L495">
        <f>IFERROR(HLOOKUP(TRIM(I495), FeeTable!$B$1:$H$2, 2, FALSE) * H495, 0)</f>
        <v>0</v>
      </c>
      <c r="M495" t="str">
        <f t="shared" si="7"/>
        <v>Standard</v>
      </c>
    </row>
    <row r="496" spans="1:13" x14ac:dyDescent="0.3">
      <c r="A496" t="s">
        <v>563</v>
      </c>
      <c r="B496">
        <v>199</v>
      </c>
      <c r="C496">
        <v>6</v>
      </c>
      <c r="D496" t="str">
        <f>IFERROR(VLOOKUP(C496, merchants!$A$2:$D$41, 2, FALSE), "Merchant not found")</f>
        <v>Merchant_006</v>
      </c>
      <c r="E496" t="str">
        <f>IFERROR(VLOOKUP(C496, merchants!$A$2:$D$41, 3, FALSE), "Merchant not found")</f>
        <v>food_delivery</v>
      </c>
      <c r="F496" t="str">
        <f>IFERROR(VLOOKUP(C496, merchants!$A$2:$D$41, 4, FALSE), "Merchant not found")</f>
        <v>South</v>
      </c>
      <c r="G496" s="1">
        <v>46023.393055555556</v>
      </c>
      <c r="H496">
        <v>49</v>
      </c>
      <c r="I496" t="s">
        <v>66</v>
      </c>
      <c r="J496" t="s">
        <v>64</v>
      </c>
      <c r="K496">
        <v>92</v>
      </c>
      <c r="L496">
        <f>IFERROR(HLOOKUP(TRIM(I496), FeeTable!$B$1:$H$2, 2, FALSE) * H496, 0)</f>
        <v>0</v>
      </c>
      <c r="M496" t="str">
        <f t="shared" si="7"/>
        <v>Standard</v>
      </c>
    </row>
    <row r="497" spans="1:13" x14ac:dyDescent="0.3">
      <c r="A497" t="s">
        <v>564</v>
      </c>
      <c r="B497">
        <v>125</v>
      </c>
      <c r="C497">
        <v>37</v>
      </c>
      <c r="D497" t="str">
        <f>IFERROR(VLOOKUP(C497, merchants!$A$2:$D$41, 2, FALSE), "Merchant not found")</f>
        <v>Merchant_037</v>
      </c>
      <c r="E497" t="str">
        <f>IFERROR(VLOOKUP(C497, merchants!$A$2:$D$41, 3, FALSE), "Merchant not found")</f>
        <v>entertainment</v>
      </c>
      <c r="F497" t="str">
        <f>IFERROR(VLOOKUP(C497, merchants!$A$2:$D$41, 4, FALSE), "Merchant not found")</f>
        <v>South</v>
      </c>
      <c r="G497" s="1">
        <v>46051.747916666667</v>
      </c>
      <c r="H497">
        <v>149</v>
      </c>
      <c r="I497" t="s">
        <v>63</v>
      </c>
      <c r="J497" t="s">
        <v>64</v>
      </c>
      <c r="K497">
        <v>66</v>
      </c>
      <c r="L497">
        <f>IFERROR(HLOOKUP(TRIM(I497), FeeTable!$B$1:$H$2, 2, FALSE) * H497, 0)</f>
        <v>1.639</v>
      </c>
      <c r="M497" t="str">
        <f t="shared" si="7"/>
        <v>Standard</v>
      </c>
    </row>
    <row r="498" spans="1:13" x14ac:dyDescent="0.3">
      <c r="A498" t="s">
        <v>565</v>
      </c>
      <c r="B498">
        <v>87</v>
      </c>
      <c r="C498">
        <v>9</v>
      </c>
      <c r="D498" t="str">
        <f>IFERROR(VLOOKUP(C498, merchants!$A$2:$D$41, 2, FALSE), "Merchant not found")</f>
        <v>Merchant_009</v>
      </c>
      <c r="E498" t="str">
        <f>IFERROR(VLOOKUP(C498, merchants!$A$2:$D$41, 3, FALSE), "Merchant not found")</f>
        <v>ecommerce</v>
      </c>
      <c r="F498" t="str">
        <f>IFERROR(VLOOKUP(C498, merchants!$A$2:$D$41, 4, FALSE), "Merchant not found")</f>
        <v>North</v>
      </c>
      <c r="G498" s="1">
        <v>46028.89166666667</v>
      </c>
      <c r="H498">
        <v>149</v>
      </c>
      <c r="I498" t="s">
        <v>66</v>
      </c>
      <c r="J498" t="s">
        <v>64</v>
      </c>
      <c r="K498">
        <v>34</v>
      </c>
      <c r="L498">
        <f>IFERROR(HLOOKUP(TRIM(I498), FeeTable!$B$1:$H$2, 2, FALSE) * H498, 0)</f>
        <v>0</v>
      </c>
      <c r="M498" t="str">
        <f t="shared" si="7"/>
        <v>Standard</v>
      </c>
    </row>
    <row r="499" spans="1:13" x14ac:dyDescent="0.3">
      <c r="A499" t="s">
        <v>566</v>
      </c>
      <c r="B499">
        <v>75</v>
      </c>
      <c r="C499">
        <v>5</v>
      </c>
      <c r="D499" t="str">
        <f>IFERROR(VLOOKUP(C499, merchants!$A$2:$D$41, 2, FALSE), "Merchant not found")</f>
        <v>Merchant_005</v>
      </c>
      <c r="E499" t="str">
        <f>IFERROR(VLOOKUP(C499, merchants!$A$2:$D$41, 3, FALSE), "Merchant not found")</f>
        <v>recharge</v>
      </c>
      <c r="F499" t="str">
        <f>IFERROR(VLOOKUP(C499, merchants!$A$2:$D$41, 4, FALSE), "Merchant not found")</f>
        <v>South</v>
      </c>
      <c r="G499" s="1">
        <v>46032.354861111111</v>
      </c>
      <c r="H499">
        <v>99</v>
      </c>
      <c r="I499" t="s">
        <v>66</v>
      </c>
      <c r="J499" t="s">
        <v>64</v>
      </c>
      <c r="K499">
        <v>21</v>
      </c>
      <c r="L499">
        <f>IFERROR(HLOOKUP(TRIM(I499), FeeTable!$B$1:$H$2, 2, FALSE) * H499, 0)</f>
        <v>0</v>
      </c>
      <c r="M499" t="str">
        <f t="shared" si="7"/>
        <v>Standard</v>
      </c>
    </row>
    <row r="500" spans="1:13" x14ac:dyDescent="0.3">
      <c r="A500" t="s">
        <v>567</v>
      </c>
      <c r="B500">
        <v>154</v>
      </c>
      <c r="C500">
        <v>31</v>
      </c>
      <c r="D500" t="str">
        <f>IFERROR(VLOOKUP(C500, merchants!$A$2:$D$41, 2, FALSE), "Merchant not found")</f>
        <v>Merchant_031</v>
      </c>
      <c r="E500" t="str">
        <f>IFERROR(VLOOKUP(C500, merchants!$A$2:$D$41, 3, FALSE), "Merchant not found")</f>
        <v>bill_payment</v>
      </c>
      <c r="F500" t="str">
        <f>IFERROR(VLOOKUP(C500, merchants!$A$2:$D$41, 4, FALSE), "Merchant not found")</f>
        <v>East</v>
      </c>
      <c r="G500" s="1">
        <v>46036.351388888892</v>
      </c>
      <c r="H500">
        <v>499</v>
      </c>
      <c r="I500" t="s">
        <v>63</v>
      </c>
      <c r="J500" t="s">
        <v>64</v>
      </c>
      <c r="K500">
        <v>100</v>
      </c>
      <c r="L500">
        <f>IFERROR(HLOOKUP(TRIM(I500), FeeTable!$B$1:$H$2, 2, FALSE) * H500, 0)</f>
        <v>5.4889999999999999</v>
      </c>
      <c r="M500" t="str">
        <f t="shared" si="7"/>
        <v>Standard</v>
      </c>
    </row>
    <row r="501" spans="1:13" x14ac:dyDescent="0.3">
      <c r="A501" t="s">
        <v>568</v>
      </c>
      <c r="B501">
        <v>127</v>
      </c>
      <c r="C501">
        <v>32</v>
      </c>
      <c r="D501" t="str">
        <f>IFERROR(VLOOKUP(C501, merchants!$A$2:$D$41, 2, FALSE), "Merchant not found")</f>
        <v>Merchant_032</v>
      </c>
      <c r="E501" t="str">
        <f>IFERROR(VLOOKUP(C501, merchants!$A$2:$D$41, 3, FALSE), "Merchant not found")</f>
        <v>food_delivery</v>
      </c>
      <c r="F501" t="str">
        <f>IFERROR(VLOOKUP(C501, merchants!$A$2:$D$41, 4, FALSE), "Merchant not found")</f>
        <v>West</v>
      </c>
      <c r="G501" s="1">
        <v>46025.469444444447</v>
      </c>
      <c r="H501">
        <v>149</v>
      </c>
      <c r="I501" t="s">
        <v>78</v>
      </c>
      <c r="J501" t="s">
        <v>64</v>
      </c>
      <c r="K501">
        <v>76</v>
      </c>
      <c r="L501">
        <f>IFERROR(HLOOKUP(TRIM(I501), FeeTable!$B$1:$H$2, 2, FALSE) * H501, 0)</f>
        <v>2.6819999999999999</v>
      </c>
      <c r="M501" t="str">
        <f t="shared" si="7"/>
        <v>Standard</v>
      </c>
    </row>
    <row r="502" spans="1:13" x14ac:dyDescent="0.3">
      <c r="A502" t="s">
        <v>569</v>
      </c>
      <c r="B502">
        <v>351</v>
      </c>
      <c r="C502">
        <v>7</v>
      </c>
      <c r="D502" t="str">
        <f>IFERROR(VLOOKUP(C502, merchants!$A$2:$D$41, 2, FALSE), "Merchant not found")</f>
        <v>Merchant_007</v>
      </c>
      <c r="E502" t="str">
        <f>IFERROR(VLOOKUP(C502, merchants!$A$2:$D$41, 3, FALSE), "Merchant not found")</f>
        <v>food_delivery</v>
      </c>
      <c r="F502" t="str">
        <f>IFERROR(VLOOKUP(C502, merchants!$A$2:$D$41, 4, FALSE), "Merchant not found")</f>
        <v>East</v>
      </c>
      <c r="G502" s="1">
        <v>46052.25</v>
      </c>
      <c r="H502">
        <v>1999</v>
      </c>
      <c r="I502" t="s">
        <v>78</v>
      </c>
      <c r="J502" t="s">
        <v>92</v>
      </c>
      <c r="K502">
        <v>79</v>
      </c>
      <c r="L502">
        <f>IFERROR(HLOOKUP(TRIM(I502), FeeTable!$B$1:$H$2, 2, FALSE) * H502, 0)</f>
        <v>35.981999999999999</v>
      </c>
      <c r="M502" t="str">
        <f t="shared" si="7"/>
        <v>Standard</v>
      </c>
    </row>
    <row r="503" spans="1:13" x14ac:dyDescent="0.3">
      <c r="A503" t="s">
        <v>570</v>
      </c>
      <c r="B503">
        <v>352</v>
      </c>
      <c r="C503">
        <v>40</v>
      </c>
      <c r="D503" t="str">
        <f>IFERROR(VLOOKUP(C503, merchants!$A$2:$D$41, 2, FALSE), "Merchant not found")</f>
        <v>Merchant_040</v>
      </c>
      <c r="E503" t="str">
        <f>IFERROR(VLOOKUP(C503, merchants!$A$2:$D$41, 3, FALSE), "Merchant not found")</f>
        <v>entertainment</v>
      </c>
      <c r="F503" t="str">
        <f>IFERROR(VLOOKUP(C503, merchants!$A$2:$D$41, 4, FALSE), "Merchant not found")</f>
        <v>South</v>
      </c>
      <c r="G503" s="1">
        <v>46033.5</v>
      </c>
      <c r="H503">
        <v>4999</v>
      </c>
      <c r="I503" t="s">
        <v>78</v>
      </c>
      <c r="J503" t="s">
        <v>92</v>
      </c>
      <c r="K503">
        <v>95</v>
      </c>
      <c r="L503">
        <f>IFERROR(HLOOKUP(TRIM(I503), FeeTable!$B$1:$H$2, 2, FALSE) * H503, 0)</f>
        <v>89.981999999999999</v>
      </c>
      <c r="M503" t="str">
        <f t="shared" si="7"/>
        <v>Standard</v>
      </c>
    </row>
    <row r="504" spans="1:13" x14ac:dyDescent="0.3">
      <c r="A504" t="s">
        <v>571</v>
      </c>
      <c r="B504">
        <v>353</v>
      </c>
      <c r="C504">
        <v>28</v>
      </c>
      <c r="D504" t="str">
        <f>IFERROR(VLOOKUP(C504, merchants!$A$2:$D$41, 2, FALSE), "Merchant not found")</f>
        <v>Merchant_028</v>
      </c>
      <c r="E504" t="str">
        <f>IFERROR(VLOOKUP(C504, merchants!$A$2:$D$41, 3, FALSE), "Merchant not found")</f>
        <v>ecommerce</v>
      </c>
      <c r="F504" t="str">
        <f>IFERROR(VLOOKUP(C504, merchants!$A$2:$D$41, 4, FALSE), "Merchant not found")</f>
        <v>South</v>
      </c>
      <c r="G504" s="1">
        <v>46043.583333333336</v>
      </c>
      <c r="H504">
        <v>1999</v>
      </c>
      <c r="I504" t="s">
        <v>78</v>
      </c>
      <c r="J504" t="s">
        <v>92</v>
      </c>
      <c r="K504">
        <v>79</v>
      </c>
      <c r="L504">
        <f>IFERROR(HLOOKUP(TRIM(I504), FeeTable!$B$1:$H$2, 2, FALSE) * H504, 0)</f>
        <v>35.981999999999999</v>
      </c>
      <c r="M504" t="str">
        <f t="shared" si="7"/>
        <v>Standard</v>
      </c>
    </row>
    <row r="505" spans="1:13" x14ac:dyDescent="0.3">
      <c r="A505" t="s">
        <v>572</v>
      </c>
      <c r="B505">
        <v>354</v>
      </c>
      <c r="C505">
        <v>13</v>
      </c>
      <c r="D505" t="str">
        <f>IFERROR(VLOOKUP(C505, merchants!$A$2:$D$41, 2, FALSE), "Merchant not found")</f>
        <v>Merchant_013</v>
      </c>
      <c r="E505" t="str">
        <f>IFERROR(VLOOKUP(C505, merchants!$A$2:$D$41, 3, FALSE), "Merchant not found")</f>
        <v>travel</v>
      </c>
      <c r="F505" t="str">
        <f>IFERROR(VLOOKUP(C505, merchants!$A$2:$D$41, 4, FALSE), "Merchant not found")</f>
        <v>East</v>
      </c>
      <c r="G505" s="1">
        <v>46043.791666666664</v>
      </c>
      <c r="H505">
        <v>4999</v>
      </c>
      <c r="I505" t="s">
        <v>78</v>
      </c>
      <c r="J505" t="s">
        <v>92</v>
      </c>
      <c r="K505">
        <v>80</v>
      </c>
      <c r="L505">
        <f>IFERROR(HLOOKUP(TRIM(I505), FeeTable!$B$1:$H$2, 2, FALSE) * H505, 0)</f>
        <v>89.981999999999999</v>
      </c>
      <c r="M505" t="str">
        <f t="shared" si="7"/>
        <v>Standard</v>
      </c>
    </row>
    <row r="506" spans="1:13" x14ac:dyDescent="0.3">
      <c r="A506" t="s">
        <v>573</v>
      </c>
      <c r="B506">
        <v>355</v>
      </c>
      <c r="C506">
        <v>19</v>
      </c>
      <c r="D506" t="str">
        <f>IFERROR(VLOOKUP(C506, merchants!$A$2:$D$41, 2, FALSE), "Merchant not found")</f>
        <v>Merchant_019</v>
      </c>
      <c r="E506" t="str">
        <f>IFERROR(VLOOKUP(C506, merchants!$A$2:$D$41, 3, FALSE), "Merchant not found")</f>
        <v>grocery</v>
      </c>
      <c r="F506" t="str">
        <f>IFERROR(VLOOKUP(C506, merchants!$A$2:$D$41, 4, FALSE), "Merchant not found")</f>
        <v>North</v>
      </c>
      <c r="G506" s="1">
        <v>46038.5</v>
      </c>
      <c r="H506">
        <v>4999</v>
      </c>
      <c r="I506" t="s">
        <v>78</v>
      </c>
      <c r="J506" t="s">
        <v>92</v>
      </c>
      <c r="K506">
        <v>100</v>
      </c>
      <c r="L506">
        <f>IFERROR(HLOOKUP(TRIM(I506), FeeTable!$B$1:$H$2, 2, FALSE) * H506, 0)</f>
        <v>89.981999999999999</v>
      </c>
      <c r="M506" t="str">
        <f t="shared" si="7"/>
        <v>Standard</v>
      </c>
    </row>
    <row r="507" spans="1:13" x14ac:dyDescent="0.3">
      <c r="A507" t="s">
        <v>574</v>
      </c>
      <c r="B507">
        <v>356</v>
      </c>
      <c r="C507">
        <v>25</v>
      </c>
      <c r="D507" t="str">
        <f>IFERROR(VLOOKUP(C507, merchants!$A$2:$D$41, 2, FALSE), "Merchant not found")</f>
        <v>Merchant_025</v>
      </c>
      <c r="E507" t="str">
        <f>IFERROR(VLOOKUP(C507, merchants!$A$2:$D$41, 3, FALSE), "Merchant not found")</f>
        <v>travel</v>
      </c>
      <c r="F507" t="str">
        <f>IFERROR(VLOOKUP(C507, merchants!$A$2:$D$41, 4, FALSE), "Merchant not found")</f>
        <v>South</v>
      </c>
      <c r="G507" s="1">
        <v>46051.291666666664</v>
      </c>
      <c r="H507">
        <v>2999</v>
      </c>
      <c r="I507" t="s">
        <v>78</v>
      </c>
      <c r="J507" t="s">
        <v>92</v>
      </c>
      <c r="K507">
        <v>96</v>
      </c>
      <c r="L507">
        <f>IFERROR(HLOOKUP(TRIM(I507), FeeTable!$B$1:$H$2, 2, FALSE) * H507, 0)</f>
        <v>53.981999999999999</v>
      </c>
      <c r="M507" t="str">
        <f t="shared" si="7"/>
        <v>Standard</v>
      </c>
    </row>
    <row r="508" spans="1:13" x14ac:dyDescent="0.3">
      <c r="A508" t="s">
        <v>575</v>
      </c>
      <c r="B508">
        <v>357</v>
      </c>
      <c r="C508">
        <v>37</v>
      </c>
      <c r="D508" t="str">
        <f>IFERROR(VLOOKUP(C508, merchants!$A$2:$D$41, 2, FALSE), "Merchant not found")</f>
        <v>Merchant_037</v>
      </c>
      <c r="E508" t="str">
        <f>IFERROR(VLOOKUP(C508, merchants!$A$2:$D$41, 3, FALSE), "Merchant not found")</f>
        <v>entertainment</v>
      </c>
      <c r="F508" t="str">
        <f>IFERROR(VLOOKUP(C508, merchants!$A$2:$D$41, 4, FALSE), "Merchant not found")</f>
        <v>South</v>
      </c>
      <c r="G508" s="1">
        <v>46045.458333333336</v>
      </c>
      <c r="H508">
        <v>1999</v>
      </c>
      <c r="I508" t="s">
        <v>78</v>
      </c>
      <c r="J508" t="s">
        <v>92</v>
      </c>
      <c r="K508">
        <v>88</v>
      </c>
      <c r="L508">
        <f>IFERROR(HLOOKUP(TRIM(I508), FeeTable!$B$1:$H$2, 2, FALSE) * H508, 0)</f>
        <v>35.981999999999999</v>
      </c>
      <c r="M508" t="str">
        <f t="shared" si="7"/>
        <v>Standard</v>
      </c>
    </row>
    <row r="509" spans="1:13" x14ac:dyDescent="0.3">
      <c r="A509" t="s">
        <v>576</v>
      </c>
      <c r="B509">
        <v>358</v>
      </c>
      <c r="C509">
        <v>36</v>
      </c>
      <c r="D509" t="str">
        <f>IFERROR(VLOOKUP(C509, merchants!$A$2:$D$41, 2, FALSE), "Merchant not found")</f>
        <v>Merchant_036</v>
      </c>
      <c r="E509" t="str">
        <f>IFERROR(VLOOKUP(C509, merchants!$A$2:$D$41, 3, FALSE), "Merchant not found")</f>
        <v>entertainment</v>
      </c>
      <c r="F509" t="str">
        <f>IFERROR(VLOOKUP(C509, merchants!$A$2:$D$41, 4, FALSE), "Merchant not found")</f>
        <v>East</v>
      </c>
      <c r="G509" s="1">
        <v>46050.208333333336</v>
      </c>
      <c r="H509">
        <v>999</v>
      </c>
      <c r="I509" t="s">
        <v>78</v>
      </c>
      <c r="J509" t="s">
        <v>92</v>
      </c>
      <c r="K509">
        <v>100</v>
      </c>
      <c r="L509">
        <f>IFERROR(HLOOKUP(TRIM(I509), FeeTable!$B$1:$H$2, 2, FALSE) * H509, 0)</f>
        <v>17.981999999999999</v>
      </c>
      <c r="M509" t="str">
        <f t="shared" si="7"/>
        <v>Standard</v>
      </c>
    </row>
    <row r="510" spans="1:13" x14ac:dyDescent="0.3">
      <c r="A510" t="s">
        <v>577</v>
      </c>
      <c r="B510">
        <v>359</v>
      </c>
      <c r="C510">
        <v>29</v>
      </c>
      <c r="D510" t="str">
        <f>IFERROR(VLOOKUP(C510, merchants!$A$2:$D$41, 2, FALSE), "Merchant not found")</f>
        <v>Merchant_029</v>
      </c>
      <c r="E510" t="str">
        <f>IFERROR(VLOOKUP(C510, merchants!$A$2:$D$41, 3, FALSE), "Merchant not found")</f>
        <v>ecommerce</v>
      </c>
      <c r="F510" t="str">
        <f>IFERROR(VLOOKUP(C510, merchants!$A$2:$D$41, 4, FALSE), "Merchant not found")</f>
        <v>North</v>
      </c>
      <c r="G510" s="1">
        <v>46047.916666666664</v>
      </c>
      <c r="H510">
        <v>2999</v>
      </c>
      <c r="I510" t="s">
        <v>78</v>
      </c>
      <c r="J510" t="s">
        <v>92</v>
      </c>
      <c r="K510">
        <v>96</v>
      </c>
      <c r="L510">
        <f>IFERROR(HLOOKUP(TRIM(I510), FeeTable!$B$1:$H$2, 2, FALSE) * H510, 0)</f>
        <v>53.981999999999999</v>
      </c>
      <c r="M510" t="str">
        <f t="shared" si="7"/>
        <v>Standard</v>
      </c>
    </row>
    <row r="511" spans="1:13" x14ac:dyDescent="0.3">
      <c r="A511" t="s">
        <v>578</v>
      </c>
      <c r="B511">
        <v>360</v>
      </c>
      <c r="C511">
        <v>32</v>
      </c>
      <c r="D511" t="str">
        <f>IFERROR(VLOOKUP(C511, merchants!$A$2:$D$41, 2, FALSE), "Merchant not found")</f>
        <v>Merchant_032</v>
      </c>
      <c r="E511" t="str">
        <f>IFERROR(VLOOKUP(C511, merchants!$A$2:$D$41, 3, FALSE), "Merchant not found")</f>
        <v>food_delivery</v>
      </c>
      <c r="F511" t="str">
        <f>IFERROR(VLOOKUP(C511, merchants!$A$2:$D$41, 4, FALSE), "Merchant not found")</f>
        <v>West</v>
      </c>
      <c r="G511" s="1">
        <v>46035.541666666664</v>
      </c>
      <c r="H511">
        <v>1999</v>
      </c>
      <c r="I511" t="s">
        <v>78</v>
      </c>
      <c r="J511" t="s">
        <v>92</v>
      </c>
      <c r="K511">
        <v>90</v>
      </c>
      <c r="L511">
        <f>IFERROR(HLOOKUP(TRIM(I511), FeeTable!$B$1:$H$2, 2, FALSE) * H511, 0)</f>
        <v>35.981999999999999</v>
      </c>
      <c r="M511" t="str">
        <f t="shared" si="7"/>
        <v>Standard</v>
      </c>
    </row>
    <row r="512" spans="1:13" x14ac:dyDescent="0.3">
      <c r="A512" t="s">
        <v>579</v>
      </c>
      <c r="B512">
        <v>361</v>
      </c>
      <c r="C512">
        <v>10</v>
      </c>
      <c r="D512" t="str">
        <f>IFERROR(VLOOKUP(C512, merchants!$A$2:$D$41, 2, FALSE), "Merchant not found")</f>
        <v>Merchant_010</v>
      </c>
      <c r="E512" t="str">
        <f>IFERROR(VLOOKUP(C512, merchants!$A$2:$D$41, 3, FALSE), "Merchant not found")</f>
        <v>grocery</v>
      </c>
      <c r="F512" t="str">
        <f>IFERROR(VLOOKUP(C512, merchants!$A$2:$D$41, 4, FALSE), "Merchant not found")</f>
        <v>West</v>
      </c>
      <c r="G512" s="1">
        <v>46042.291666666664</v>
      </c>
      <c r="H512">
        <v>4999</v>
      </c>
      <c r="I512" t="s">
        <v>78</v>
      </c>
      <c r="J512" t="s">
        <v>92</v>
      </c>
      <c r="K512">
        <v>95</v>
      </c>
      <c r="L512">
        <f>IFERROR(HLOOKUP(TRIM(I512), FeeTable!$B$1:$H$2, 2, FALSE) * H512, 0)</f>
        <v>89.981999999999999</v>
      </c>
      <c r="M512" t="str">
        <f t="shared" si="7"/>
        <v>Standard</v>
      </c>
    </row>
    <row r="513" spans="1:13" x14ac:dyDescent="0.3">
      <c r="A513" t="s">
        <v>580</v>
      </c>
      <c r="B513">
        <v>362</v>
      </c>
      <c r="C513">
        <v>39</v>
      </c>
      <c r="D513" t="str">
        <f>IFERROR(VLOOKUP(C513, merchants!$A$2:$D$41, 2, FALSE), "Merchant not found")</f>
        <v>Merchant_039</v>
      </c>
      <c r="E513" t="str">
        <f>IFERROR(VLOOKUP(C513, merchants!$A$2:$D$41, 3, FALSE), "Merchant not found")</f>
        <v>entertainment</v>
      </c>
      <c r="F513" t="str">
        <f>IFERROR(VLOOKUP(C513, merchants!$A$2:$D$41, 4, FALSE), "Merchant not found")</f>
        <v>North</v>
      </c>
      <c r="G513" s="1">
        <v>46045.083333333336</v>
      </c>
      <c r="H513">
        <v>4999</v>
      </c>
      <c r="I513" t="s">
        <v>78</v>
      </c>
      <c r="J513" t="s">
        <v>92</v>
      </c>
      <c r="K513">
        <v>88</v>
      </c>
      <c r="L513">
        <f>IFERROR(HLOOKUP(TRIM(I513), FeeTable!$B$1:$H$2, 2, FALSE) * H513, 0)</f>
        <v>89.981999999999999</v>
      </c>
      <c r="M513" t="str">
        <f t="shared" si="7"/>
        <v>Standard</v>
      </c>
    </row>
    <row r="514" spans="1:13" x14ac:dyDescent="0.3">
      <c r="A514" t="s">
        <v>581</v>
      </c>
      <c r="B514">
        <v>363</v>
      </c>
      <c r="C514">
        <v>27</v>
      </c>
      <c r="D514" t="str">
        <f>IFERROR(VLOOKUP(C514, merchants!$A$2:$D$41, 2, FALSE), "Merchant not found")</f>
        <v>Merchant_027</v>
      </c>
      <c r="E514" t="str">
        <f>IFERROR(VLOOKUP(C514, merchants!$A$2:$D$41, 3, FALSE), "Merchant not found")</f>
        <v>ecommerce</v>
      </c>
      <c r="F514" t="str">
        <f>IFERROR(VLOOKUP(C514, merchants!$A$2:$D$41, 4, FALSE), "Merchant not found")</f>
        <v>North</v>
      </c>
      <c r="G514" s="1">
        <v>46045.708333333336</v>
      </c>
      <c r="H514">
        <v>999</v>
      </c>
      <c r="I514" t="s">
        <v>78</v>
      </c>
      <c r="J514" t="s">
        <v>92</v>
      </c>
      <c r="K514">
        <v>95</v>
      </c>
      <c r="L514">
        <f>IFERROR(HLOOKUP(TRIM(I514), FeeTable!$B$1:$H$2, 2, FALSE) * H514, 0)</f>
        <v>17.981999999999999</v>
      </c>
      <c r="M514" t="str">
        <f t="shared" si="7"/>
        <v>Standard</v>
      </c>
    </row>
    <row r="515" spans="1:13" x14ac:dyDescent="0.3">
      <c r="A515" t="s">
        <v>582</v>
      </c>
      <c r="B515">
        <v>364</v>
      </c>
      <c r="C515">
        <v>39</v>
      </c>
      <c r="D515" t="str">
        <f>IFERROR(VLOOKUP(C515, merchants!$A$2:$D$41, 2, FALSE), "Merchant not found")</f>
        <v>Merchant_039</v>
      </c>
      <c r="E515" t="str">
        <f>IFERROR(VLOOKUP(C515, merchants!$A$2:$D$41, 3, FALSE), "Merchant not found")</f>
        <v>entertainment</v>
      </c>
      <c r="F515" t="str">
        <f>IFERROR(VLOOKUP(C515, merchants!$A$2:$D$41, 4, FALSE), "Merchant not found")</f>
        <v>North</v>
      </c>
      <c r="G515" s="1">
        <v>46044.916666666664</v>
      </c>
      <c r="H515">
        <v>999</v>
      </c>
      <c r="I515" t="s">
        <v>78</v>
      </c>
      <c r="J515" t="s">
        <v>92</v>
      </c>
      <c r="K515">
        <v>73</v>
      </c>
      <c r="L515">
        <f>IFERROR(HLOOKUP(TRIM(I515), FeeTable!$B$1:$H$2, 2, FALSE) * H515, 0)</f>
        <v>17.981999999999999</v>
      </c>
      <c r="M515" t="str">
        <f t="shared" ref="M515:M548" si="8">IF(AND(H515 &gt; 5000, F515 &lt;&gt; "East"), "High-Value Merchant Day", "Standard")</f>
        <v>Standard</v>
      </c>
    </row>
    <row r="516" spans="1:13" x14ac:dyDescent="0.3">
      <c r="A516" t="s">
        <v>583</v>
      </c>
      <c r="B516">
        <v>365</v>
      </c>
      <c r="C516">
        <v>23</v>
      </c>
      <c r="D516" t="str">
        <f>IFERROR(VLOOKUP(C516, merchants!$A$2:$D$41, 2, FALSE), "Merchant not found")</f>
        <v>Merchant_023</v>
      </c>
      <c r="E516" t="str">
        <f>IFERROR(VLOOKUP(C516, merchants!$A$2:$D$41, 3, FALSE), "Merchant not found")</f>
        <v>travel</v>
      </c>
      <c r="F516" t="str">
        <f>IFERROR(VLOOKUP(C516, merchants!$A$2:$D$41, 4, FALSE), "Merchant not found")</f>
        <v>North</v>
      </c>
      <c r="G516" s="1">
        <v>46040.875</v>
      </c>
      <c r="H516">
        <v>1999</v>
      </c>
      <c r="I516" t="s">
        <v>78</v>
      </c>
      <c r="J516" t="s">
        <v>92</v>
      </c>
      <c r="K516">
        <v>90</v>
      </c>
      <c r="L516">
        <f>IFERROR(HLOOKUP(TRIM(I516), FeeTable!$B$1:$H$2, 2, FALSE) * H516, 0)</f>
        <v>35.981999999999999</v>
      </c>
      <c r="M516" t="str">
        <f t="shared" si="8"/>
        <v>Standard</v>
      </c>
    </row>
    <row r="517" spans="1:13" x14ac:dyDescent="0.3">
      <c r="A517" t="s">
        <v>584</v>
      </c>
      <c r="B517">
        <v>314</v>
      </c>
      <c r="C517">
        <v>26</v>
      </c>
      <c r="D517" t="str">
        <f>IFERROR(VLOOKUP(C517, merchants!$A$2:$D$41, 2, FALSE), "Merchant not found")</f>
        <v>Merchant_026</v>
      </c>
      <c r="E517" t="str">
        <f>IFERROR(VLOOKUP(C517, merchants!$A$2:$D$41, 3, FALSE), "Merchant not found")</f>
        <v>food_delivery</v>
      </c>
      <c r="F517" t="str">
        <f>IFERROR(VLOOKUP(C517, merchants!$A$2:$D$41, 4, FALSE), "Merchant not found")</f>
        <v>East</v>
      </c>
      <c r="G517" s="1">
        <v>46024.75</v>
      </c>
      <c r="H517">
        <v>399</v>
      </c>
      <c r="I517" t="s">
        <v>78</v>
      </c>
      <c r="J517" t="s">
        <v>79</v>
      </c>
      <c r="K517">
        <v>87</v>
      </c>
      <c r="L517">
        <f>IFERROR(HLOOKUP(TRIM(I517), FeeTable!$B$1:$H$2, 2, FALSE) * H517, 0)</f>
        <v>7.1819999999999995</v>
      </c>
      <c r="M517" t="str">
        <f t="shared" si="8"/>
        <v>Standard</v>
      </c>
    </row>
    <row r="518" spans="1:13" x14ac:dyDescent="0.3">
      <c r="A518" t="s">
        <v>585</v>
      </c>
      <c r="B518">
        <v>314</v>
      </c>
      <c r="C518">
        <v>7</v>
      </c>
      <c r="D518" t="str">
        <f>IFERROR(VLOOKUP(C518, merchants!$A$2:$D$41, 2, FALSE), "Merchant not found")</f>
        <v>Merchant_007</v>
      </c>
      <c r="E518" t="str">
        <f>IFERROR(VLOOKUP(C518, merchants!$A$2:$D$41, 3, FALSE), "Merchant not found")</f>
        <v>food_delivery</v>
      </c>
      <c r="F518" t="str">
        <f>IFERROR(VLOOKUP(C518, merchants!$A$2:$D$41, 4, FALSE), "Merchant not found")</f>
        <v>East</v>
      </c>
      <c r="G518" s="1">
        <v>46024.750694444447</v>
      </c>
      <c r="H518">
        <v>299</v>
      </c>
      <c r="I518" t="s">
        <v>78</v>
      </c>
      <c r="J518" t="s">
        <v>79</v>
      </c>
      <c r="K518">
        <v>66</v>
      </c>
      <c r="L518">
        <f>IFERROR(HLOOKUP(TRIM(I518), FeeTable!$B$1:$H$2, 2, FALSE) * H518, 0)</f>
        <v>5.3819999999999997</v>
      </c>
      <c r="M518" t="str">
        <f t="shared" si="8"/>
        <v>Standard</v>
      </c>
    </row>
    <row r="519" spans="1:13" x14ac:dyDescent="0.3">
      <c r="A519" t="s">
        <v>586</v>
      </c>
      <c r="B519">
        <v>314</v>
      </c>
      <c r="C519">
        <v>17</v>
      </c>
      <c r="D519" t="str">
        <f>IFERROR(VLOOKUP(C519, merchants!$A$2:$D$41, 2, FALSE), "Merchant not found")</f>
        <v>Merchant_017</v>
      </c>
      <c r="E519" t="str">
        <f>IFERROR(VLOOKUP(C519, merchants!$A$2:$D$41, 3, FALSE), "Merchant not found")</f>
        <v>grocery</v>
      </c>
      <c r="F519" t="str">
        <f>IFERROR(VLOOKUP(C519, merchants!$A$2:$D$41, 4, FALSE), "Merchant not found")</f>
        <v>North</v>
      </c>
      <c r="G519" s="1">
        <v>46024.751388888886</v>
      </c>
      <c r="H519">
        <v>299</v>
      </c>
      <c r="I519" t="s">
        <v>78</v>
      </c>
      <c r="J519" t="s">
        <v>79</v>
      </c>
      <c r="K519">
        <v>92</v>
      </c>
      <c r="L519">
        <f>IFERROR(HLOOKUP(TRIM(I519), FeeTable!$B$1:$H$2, 2, FALSE) * H519, 0)</f>
        <v>5.3819999999999997</v>
      </c>
      <c r="M519" t="str">
        <f t="shared" si="8"/>
        <v>Standard</v>
      </c>
    </row>
    <row r="520" spans="1:13" x14ac:dyDescent="0.3">
      <c r="A520" t="s">
        <v>587</v>
      </c>
      <c r="B520">
        <v>314</v>
      </c>
      <c r="C520">
        <v>34</v>
      </c>
      <c r="D520" t="str">
        <f>IFERROR(VLOOKUP(C520, merchants!$A$2:$D$41, 2, FALSE), "Merchant not found")</f>
        <v>Merchant_034</v>
      </c>
      <c r="E520" t="str">
        <f>IFERROR(VLOOKUP(C520, merchants!$A$2:$D$41, 3, FALSE), "Merchant not found")</f>
        <v>travel</v>
      </c>
      <c r="F520" t="str">
        <f>IFERROR(VLOOKUP(C520, merchants!$A$2:$D$41, 4, FALSE), "Merchant not found")</f>
        <v>South</v>
      </c>
      <c r="G520" s="1">
        <v>46024.752083333333</v>
      </c>
      <c r="H520">
        <v>499</v>
      </c>
      <c r="I520" t="s">
        <v>78</v>
      </c>
      <c r="J520" t="s">
        <v>64</v>
      </c>
      <c r="K520">
        <v>74</v>
      </c>
      <c r="L520">
        <f>IFERROR(HLOOKUP(TRIM(I520), FeeTable!$B$1:$H$2, 2, FALSE) * H520, 0)</f>
        <v>8.9819999999999993</v>
      </c>
      <c r="M520" t="str">
        <f t="shared" si="8"/>
        <v>Standard</v>
      </c>
    </row>
    <row r="521" spans="1:13" x14ac:dyDescent="0.3">
      <c r="A521" t="s">
        <v>588</v>
      </c>
      <c r="B521">
        <v>229</v>
      </c>
      <c r="C521">
        <v>30</v>
      </c>
      <c r="D521" t="str">
        <f>IFERROR(VLOOKUP(C521, merchants!$A$2:$D$41, 2, FALSE), "Merchant not found")</f>
        <v>Merchant_030</v>
      </c>
      <c r="E521" t="str">
        <f>IFERROR(VLOOKUP(C521, merchants!$A$2:$D$41, 3, FALSE), "Merchant not found")</f>
        <v>travel</v>
      </c>
      <c r="F521" t="str">
        <f>IFERROR(VLOOKUP(C521, merchants!$A$2:$D$41, 4, FALSE), "Merchant not found")</f>
        <v>West</v>
      </c>
      <c r="G521" s="1">
        <v>46034.5</v>
      </c>
      <c r="H521">
        <v>499</v>
      </c>
      <c r="I521" t="s">
        <v>78</v>
      </c>
      <c r="J521" t="s">
        <v>79</v>
      </c>
      <c r="K521">
        <v>92</v>
      </c>
      <c r="L521">
        <f>IFERROR(HLOOKUP(TRIM(I521), FeeTable!$B$1:$H$2, 2, FALSE) * H521, 0)</f>
        <v>8.9819999999999993</v>
      </c>
      <c r="M521" t="str">
        <f t="shared" si="8"/>
        <v>Standard</v>
      </c>
    </row>
    <row r="522" spans="1:13" x14ac:dyDescent="0.3">
      <c r="A522" t="s">
        <v>589</v>
      </c>
      <c r="B522">
        <v>229</v>
      </c>
      <c r="C522">
        <v>10</v>
      </c>
      <c r="D522" t="str">
        <f>IFERROR(VLOOKUP(C522, merchants!$A$2:$D$41, 2, FALSE), "Merchant not found")</f>
        <v>Merchant_010</v>
      </c>
      <c r="E522" t="str">
        <f>IFERROR(VLOOKUP(C522, merchants!$A$2:$D$41, 3, FALSE), "Merchant not found")</f>
        <v>grocery</v>
      </c>
      <c r="F522" t="str">
        <f>IFERROR(VLOOKUP(C522, merchants!$A$2:$D$41, 4, FALSE), "Merchant not found")</f>
        <v>West</v>
      </c>
      <c r="G522" s="1">
        <v>46034.500694444447</v>
      </c>
      <c r="H522">
        <v>399</v>
      </c>
      <c r="I522" t="s">
        <v>78</v>
      </c>
      <c r="J522" t="s">
        <v>79</v>
      </c>
      <c r="K522">
        <v>61</v>
      </c>
      <c r="L522">
        <f>IFERROR(HLOOKUP(TRIM(I522), FeeTable!$B$1:$H$2, 2, FALSE) * H522, 0)</f>
        <v>7.1819999999999995</v>
      </c>
      <c r="M522" t="str">
        <f t="shared" si="8"/>
        <v>Standard</v>
      </c>
    </row>
    <row r="523" spans="1:13" x14ac:dyDescent="0.3">
      <c r="A523" t="s">
        <v>590</v>
      </c>
      <c r="B523">
        <v>229</v>
      </c>
      <c r="C523">
        <v>31</v>
      </c>
      <c r="D523" t="str">
        <f>IFERROR(VLOOKUP(C523, merchants!$A$2:$D$41, 2, FALSE), "Merchant not found")</f>
        <v>Merchant_031</v>
      </c>
      <c r="E523" t="str">
        <f>IFERROR(VLOOKUP(C523, merchants!$A$2:$D$41, 3, FALSE), "Merchant not found")</f>
        <v>bill_payment</v>
      </c>
      <c r="F523" t="str">
        <f>IFERROR(VLOOKUP(C523, merchants!$A$2:$D$41, 4, FALSE), "Merchant not found")</f>
        <v>East</v>
      </c>
      <c r="G523" s="1">
        <v>46034.501388888886</v>
      </c>
      <c r="H523">
        <v>299</v>
      </c>
      <c r="I523" t="s">
        <v>78</v>
      </c>
      <c r="J523" t="s">
        <v>79</v>
      </c>
      <c r="K523">
        <v>78</v>
      </c>
      <c r="L523">
        <f>IFERROR(HLOOKUP(TRIM(I523), FeeTable!$B$1:$H$2, 2, FALSE) * H523, 0)</f>
        <v>5.3819999999999997</v>
      </c>
      <c r="M523" t="str">
        <f t="shared" si="8"/>
        <v>Standard</v>
      </c>
    </row>
    <row r="524" spans="1:13" x14ac:dyDescent="0.3">
      <c r="A524" t="s">
        <v>591</v>
      </c>
      <c r="B524">
        <v>229</v>
      </c>
      <c r="C524">
        <v>27</v>
      </c>
      <c r="D524" t="str">
        <f>IFERROR(VLOOKUP(C524, merchants!$A$2:$D$41, 2, FALSE), "Merchant not found")</f>
        <v>Merchant_027</v>
      </c>
      <c r="E524" t="str">
        <f>IFERROR(VLOOKUP(C524, merchants!$A$2:$D$41, 3, FALSE), "Merchant not found")</f>
        <v>ecommerce</v>
      </c>
      <c r="F524" t="str">
        <f>IFERROR(VLOOKUP(C524, merchants!$A$2:$D$41, 4, FALSE), "Merchant not found")</f>
        <v>North</v>
      </c>
      <c r="G524" s="1">
        <v>46034.502083333333</v>
      </c>
      <c r="H524">
        <v>299</v>
      </c>
      <c r="I524" t="s">
        <v>78</v>
      </c>
      <c r="J524" t="s">
        <v>64</v>
      </c>
      <c r="K524">
        <v>67</v>
      </c>
      <c r="L524">
        <f>IFERROR(HLOOKUP(TRIM(I524), FeeTable!$B$1:$H$2, 2, FALSE) * H524, 0)</f>
        <v>5.3819999999999997</v>
      </c>
      <c r="M524" t="str">
        <f t="shared" si="8"/>
        <v>Standard</v>
      </c>
    </row>
    <row r="525" spans="1:13" x14ac:dyDescent="0.3">
      <c r="A525" t="s">
        <v>592</v>
      </c>
      <c r="B525">
        <v>73</v>
      </c>
      <c r="C525">
        <v>22</v>
      </c>
      <c r="D525" t="str">
        <f>IFERROR(VLOOKUP(C525, merchants!$A$2:$D$41, 2, FALSE), "Merchant not found")</f>
        <v>Merchant_022</v>
      </c>
      <c r="E525" t="str">
        <f>IFERROR(VLOOKUP(C525, merchants!$A$2:$D$41, 3, FALSE), "Merchant not found")</f>
        <v>travel</v>
      </c>
      <c r="F525" t="str">
        <f>IFERROR(VLOOKUP(C525, merchants!$A$2:$D$41, 4, FALSE), "Merchant not found")</f>
        <v>South</v>
      </c>
      <c r="G525" s="1">
        <v>46034.375</v>
      </c>
      <c r="H525">
        <v>399</v>
      </c>
      <c r="I525" t="s">
        <v>78</v>
      </c>
      <c r="J525" t="s">
        <v>79</v>
      </c>
      <c r="K525">
        <v>73</v>
      </c>
      <c r="L525">
        <f>IFERROR(HLOOKUP(TRIM(I525), FeeTable!$B$1:$H$2, 2, FALSE) * H525, 0)</f>
        <v>7.1819999999999995</v>
      </c>
      <c r="M525" t="str">
        <f t="shared" si="8"/>
        <v>Standard</v>
      </c>
    </row>
    <row r="526" spans="1:13" x14ac:dyDescent="0.3">
      <c r="A526" t="s">
        <v>593</v>
      </c>
      <c r="B526">
        <v>73</v>
      </c>
      <c r="C526">
        <v>34</v>
      </c>
      <c r="D526" t="str">
        <f>IFERROR(VLOOKUP(C526, merchants!$A$2:$D$41, 2, FALSE), "Merchant not found")</f>
        <v>Merchant_034</v>
      </c>
      <c r="E526" t="str">
        <f>IFERROR(VLOOKUP(C526, merchants!$A$2:$D$41, 3, FALSE), "Merchant not found")</f>
        <v>travel</v>
      </c>
      <c r="F526" t="str">
        <f>IFERROR(VLOOKUP(C526, merchants!$A$2:$D$41, 4, FALSE), "Merchant not found")</f>
        <v>South</v>
      </c>
      <c r="G526" s="1">
        <v>46034.375694444447</v>
      </c>
      <c r="H526">
        <v>399</v>
      </c>
      <c r="I526" t="s">
        <v>78</v>
      </c>
      <c r="J526" t="s">
        <v>79</v>
      </c>
      <c r="K526">
        <v>82</v>
      </c>
      <c r="L526">
        <f>IFERROR(HLOOKUP(TRIM(I526), FeeTable!$B$1:$H$2, 2, FALSE) * H526, 0)</f>
        <v>7.1819999999999995</v>
      </c>
      <c r="M526" t="str">
        <f t="shared" si="8"/>
        <v>Standard</v>
      </c>
    </row>
    <row r="527" spans="1:13" x14ac:dyDescent="0.3">
      <c r="A527" t="s">
        <v>594</v>
      </c>
      <c r="B527">
        <v>73</v>
      </c>
      <c r="C527">
        <v>31</v>
      </c>
      <c r="D527" t="str">
        <f>IFERROR(VLOOKUP(C527, merchants!$A$2:$D$41, 2, FALSE), "Merchant not found")</f>
        <v>Merchant_031</v>
      </c>
      <c r="E527" t="str">
        <f>IFERROR(VLOOKUP(C527, merchants!$A$2:$D$41, 3, FALSE), "Merchant not found")</f>
        <v>bill_payment</v>
      </c>
      <c r="F527" t="str">
        <f>IFERROR(VLOOKUP(C527, merchants!$A$2:$D$41, 4, FALSE), "Merchant not found")</f>
        <v>East</v>
      </c>
      <c r="G527" s="1">
        <v>46034.376388888886</v>
      </c>
      <c r="H527">
        <v>299</v>
      </c>
      <c r="I527" t="s">
        <v>78</v>
      </c>
      <c r="J527" t="s">
        <v>79</v>
      </c>
      <c r="K527">
        <v>88</v>
      </c>
      <c r="L527">
        <f>IFERROR(HLOOKUP(TRIM(I527), FeeTable!$B$1:$H$2, 2, FALSE) * H527, 0)</f>
        <v>5.3819999999999997</v>
      </c>
      <c r="M527" t="str">
        <f t="shared" si="8"/>
        <v>Standard</v>
      </c>
    </row>
    <row r="528" spans="1:13" x14ac:dyDescent="0.3">
      <c r="A528" t="s">
        <v>595</v>
      </c>
      <c r="B528">
        <v>73</v>
      </c>
      <c r="C528">
        <v>29</v>
      </c>
      <c r="D528" t="str">
        <f>IFERROR(VLOOKUP(C528, merchants!$A$2:$D$41, 2, FALSE), "Merchant not found")</f>
        <v>Merchant_029</v>
      </c>
      <c r="E528" t="str">
        <f>IFERROR(VLOOKUP(C528, merchants!$A$2:$D$41, 3, FALSE), "Merchant not found")</f>
        <v>ecommerce</v>
      </c>
      <c r="F528" t="str">
        <f>IFERROR(VLOOKUP(C528, merchants!$A$2:$D$41, 4, FALSE), "Merchant not found")</f>
        <v>North</v>
      </c>
      <c r="G528" s="1">
        <v>46034.377083333333</v>
      </c>
      <c r="H528">
        <v>399</v>
      </c>
      <c r="I528" t="s">
        <v>78</v>
      </c>
      <c r="J528" t="s">
        <v>64</v>
      </c>
      <c r="K528">
        <v>64</v>
      </c>
      <c r="L528">
        <f>IFERROR(HLOOKUP(TRIM(I528), FeeTable!$B$1:$H$2, 2, FALSE) * H528, 0)</f>
        <v>7.1819999999999995</v>
      </c>
      <c r="M528" t="str">
        <f t="shared" si="8"/>
        <v>Standard</v>
      </c>
    </row>
    <row r="529" spans="1:13" x14ac:dyDescent="0.3">
      <c r="A529" t="s">
        <v>596</v>
      </c>
      <c r="B529">
        <v>154</v>
      </c>
      <c r="C529">
        <v>8</v>
      </c>
      <c r="D529" t="str">
        <f>IFERROR(VLOOKUP(C529, merchants!$A$2:$D$41, 2, FALSE), "Merchant not found")</f>
        <v>Merchant_008</v>
      </c>
      <c r="E529" t="str">
        <f>IFERROR(VLOOKUP(C529, merchants!$A$2:$D$41, 3, FALSE), "Merchant not found")</f>
        <v>food_delivery</v>
      </c>
      <c r="F529" t="str">
        <f>IFERROR(VLOOKUP(C529, merchants!$A$2:$D$41, 4, FALSE), "Merchant not found")</f>
        <v>North</v>
      </c>
      <c r="G529" s="1">
        <v>46024.916666666664</v>
      </c>
      <c r="H529">
        <v>299</v>
      </c>
      <c r="I529" t="s">
        <v>78</v>
      </c>
      <c r="J529" t="s">
        <v>79</v>
      </c>
      <c r="K529">
        <v>81</v>
      </c>
      <c r="L529">
        <f>IFERROR(HLOOKUP(TRIM(I529), FeeTable!$B$1:$H$2, 2, FALSE) * H529, 0)</f>
        <v>5.3819999999999997</v>
      </c>
      <c r="M529" t="str">
        <f t="shared" si="8"/>
        <v>Standard</v>
      </c>
    </row>
    <row r="530" spans="1:13" x14ac:dyDescent="0.3">
      <c r="A530" t="s">
        <v>597</v>
      </c>
      <c r="B530">
        <v>154</v>
      </c>
      <c r="C530">
        <v>7</v>
      </c>
      <c r="D530" t="str">
        <f>IFERROR(VLOOKUP(C530, merchants!$A$2:$D$41, 2, FALSE), "Merchant not found")</f>
        <v>Merchant_007</v>
      </c>
      <c r="E530" t="str">
        <f>IFERROR(VLOOKUP(C530, merchants!$A$2:$D$41, 3, FALSE), "Merchant not found")</f>
        <v>food_delivery</v>
      </c>
      <c r="F530" t="str">
        <f>IFERROR(VLOOKUP(C530, merchants!$A$2:$D$41, 4, FALSE), "Merchant not found")</f>
        <v>East</v>
      </c>
      <c r="G530" s="1">
        <v>46024.917361111111</v>
      </c>
      <c r="H530">
        <v>499</v>
      </c>
      <c r="I530" t="s">
        <v>78</v>
      </c>
      <c r="J530" t="s">
        <v>79</v>
      </c>
      <c r="K530">
        <v>70</v>
      </c>
      <c r="L530">
        <f>IFERROR(HLOOKUP(TRIM(I530), FeeTable!$B$1:$H$2, 2, FALSE) * H530, 0)</f>
        <v>8.9819999999999993</v>
      </c>
      <c r="M530" t="str">
        <f t="shared" si="8"/>
        <v>Standard</v>
      </c>
    </row>
    <row r="531" spans="1:13" x14ac:dyDescent="0.3">
      <c r="A531" t="s">
        <v>598</v>
      </c>
      <c r="B531">
        <v>154</v>
      </c>
      <c r="C531">
        <v>16</v>
      </c>
      <c r="D531" t="str">
        <f>IFERROR(VLOOKUP(C531, merchants!$A$2:$D$41, 2, FALSE), "Merchant not found")</f>
        <v>Merchant_016</v>
      </c>
      <c r="E531" t="str">
        <f>IFERROR(VLOOKUP(C531, merchants!$A$2:$D$41, 3, FALSE), "Merchant not found")</f>
        <v>bill_payment</v>
      </c>
      <c r="F531" t="str">
        <f>IFERROR(VLOOKUP(C531, merchants!$A$2:$D$41, 4, FALSE), "Merchant not found")</f>
        <v>West</v>
      </c>
      <c r="G531" s="1">
        <v>46024.918055555558</v>
      </c>
      <c r="H531">
        <v>499</v>
      </c>
      <c r="I531" t="s">
        <v>78</v>
      </c>
      <c r="J531" t="s">
        <v>79</v>
      </c>
      <c r="K531">
        <v>71</v>
      </c>
      <c r="L531">
        <f>IFERROR(HLOOKUP(TRIM(I531), FeeTable!$B$1:$H$2, 2, FALSE) * H531, 0)</f>
        <v>8.9819999999999993</v>
      </c>
      <c r="M531" t="str">
        <f t="shared" si="8"/>
        <v>Standard</v>
      </c>
    </row>
    <row r="532" spans="1:13" x14ac:dyDescent="0.3">
      <c r="A532" t="s">
        <v>599</v>
      </c>
      <c r="B532">
        <v>154</v>
      </c>
      <c r="C532">
        <v>36</v>
      </c>
      <c r="D532" t="str">
        <f>IFERROR(VLOOKUP(C532, merchants!$A$2:$D$41, 2, FALSE), "Merchant not found")</f>
        <v>Merchant_036</v>
      </c>
      <c r="E532" t="str">
        <f>IFERROR(VLOOKUP(C532, merchants!$A$2:$D$41, 3, FALSE), "Merchant not found")</f>
        <v>entertainment</v>
      </c>
      <c r="F532" t="str">
        <f>IFERROR(VLOOKUP(C532, merchants!$A$2:$D$41, 4, FALSE), "Merchant not found")</f>
        <v>East</v>
      </c>
      <c r="G532" s="1">
        <v>46024.918749999997</v>
      </c>
      <c r="H532">
        <v>299</v>
      </c>
      <c r="I532" t="s">
        <v>78</v>
      </c>
      <c r="J532" t="s">
        <v>64</v>
      </c>
      <c r="K532">
        <v>81</v>
      </c>
      <c r="L532">
        <f>IFERROR(HLOOKUP(TRIM(I532), FeeTable!$B$1:$H$2, 2, FALSE) * H532, 0)</f>
        <v>5.3819999999999997</v>
      </c>
      <c r="M532" t="str">
        <f t="shared" si="8"/>
        <v>Standard</v>
      </c>
    </row>
    <row r="533" spans="1:13" x14ac:dyDescent="0.3">
      <c r="A533" t="s">
        <v>600</v>
      </c>
      <c r="B533">
        <v>287</v>
      </c>
      <c r="C533">
        <v>15</v>
      </c>
      <c r="D533" t="str">
        <f>IFERROR(VLOOKUP(C533, merchants!$A$2:$D$41, 2, FALSE), "Merchant not found")</f>
        <v>Merchant_015</v>
      </c>
      <c r="E533" t="str">
        <f>IFERROR(VLOOKUP(C533, merchants!$A$2:$D$41, 3, FALSE), "Merchant not found")</f>
        <v>travel</v>
      </c>
      <c r="F533" t="str">
        <f>IFERROR(VLOOKUP(C533, merchants!$A$2:$D$41, 4, FALSE), "Merchant not found")</f>
        <v>North</v>
      </c>
      <c r="G533" s="1">
        <v>46036.583333333336</v>
      </c>
      <c r="H533">
        <v>399</v>
      </c>
      <c r="I533" t="s">
        <v>78</v>
      </c>
      <c r="J533" t="s">
        <v>79</v>
      </c>
      <c r="K533">
        <v>71</v>
      </c>
      <c r="L533">
        <f>IFERROR(HLOOKUP(TRIM(I533), FeeTable!$B$1:$H$2, 2, FALSE) * H533, 0)</f>
        <v>7.1819999999999995</v>
      </c>
      <c r="M533" t="str">
        <f t="shared" si="8"/>
        <v>Standard</v>
      </c>
    </row>
    <row r="534" spans="1:13" x14ac:dyDescent="0.3">
      <c r="A534" t="s">
        <v>601</v>
      </c>
      <c r="B534">
        <v>287</v>
      </c>
      <c r="C534">
        <v>12</v>
      </c>
      <c r="D534" t="str">
        <f>IFERROR(VLOOKUP(C534, merchants!$A$2:$D$41, 2, FALSE), "Merchant not found")</f>
        <v>Merchant_012</v>
      </c>
      <c r="E534" t="str">
        <f>IFERROR(VLOOKUP(C534, merchants!$A$2:$D$41, 3, FALSE), "Merchant not found")</f>
        <v>ecommerce</v>
      </c>
      <c r="F534" t="str">
        <f>IFERROR(VLOOKUP(C534, merchants!$A$2:$D$41, 4, FALSE), "Merchant not found")</f>
        <v>East</v>
      </c>
      <c r="G534" s="1">
        <v>46036.584027777775</v>
      </c>
      <c r="H534">
        <v>499</v>
      </c>
      <c r="I534" t="s">
        <v>78</v>
      </c>
      <c r="J534" t="s">
        <v>79</v>
      </c>
      <c r="K534">
        <v>87</v>
      </c>
      <c r="L534">
        <f>IFERROR(HLOOKUP(TRIM(I534), FeeTable!$B$1:$H$2, 2, FALSE) * H534, 0)</f>
        <v>8.9819999999999993</v>
      </c>
      <c r="M534" t="str">
        <f t="shared" si="8"/>
        <v>Standard</v>
      </c>
    </row>
    <row r="535" spans="1:13" x14ac:dyDescent="0.3">
      <c r="A535" t="s">
        <v>602</v>
      </c>
      <c r="B535">
        <v>287</v>
      </c>
      <c r="C535">
        <v>26</v>
      </c>
      <c r="D535" t="str">
        <f>IFERROR(VLOOKUP(C535, merchants!$A$2:$D$41, 2, FALSE), "Merchant not found")</f>
        <v>Merchant_026</v>
      </c>
      <c r="E535" t="str">
        <f>IFERROR(VLOOKUP(C535, merchants!$A$2:$D$41, 3, FALSE), "Merchant not found")</f>
        <v>food_delivery</v>
      </c>
      <c r="F535" t="str">
        <f>IFERROR(VLOOKUP(C535, merchants!$A$2:$D$41, 4, FALSE), "Merchant not found")</f>
        <v>East</v>
      </c>
      <c r="G535" s="1">
        <v>46036.584722222222</v>
      </c>
      <c r="H535">
        <v>299</v>
      </c>
      <c r="I535" t="s">
        <v>78</v>
      </c>
      <c r="J535" t="s">
        <v>79</v>
      </c>
      <c r="K535">
        <v>72</v>
      </c>
      <c r="L535">
        <f>IFERROR(HLOOKUP(TRIM(I535), FeeTable!$B$1:$H$2, 2, FALSE) * H535, 0)</f>
        <v>5.3819999999999997</v>
      </c>
      <c r="M535" t="str">
        <f t="shared" si="8"/>
        <v>Standard</v>
      </c>
    </row>
    <row r="536" spans="1:13" x14ac:dyDescent="0.3">
      <c r="A536" t="s">
        <v>603</v>
      </c>
      <c r="B536">
        <v>287</v>
      </c>
      <c r="C536">
        <v>29</v>
      </c>
      <c r="D536" t="str">
        <f>IFERROR(VLOOKUP(C536, merchants!$A$2:$D$41, 2, FALSE), "Merchant not found")</f>
        <v>Merchant_029</v>
      </c>
      <c r="E536" t="str">
        <f>IFERROR(VLOOKUP(C536, merchants!$A$2:$D$41, 3, FALSE), "Merchant not found")</f>
        <v>ecommerce</v>
      </c>
      <c r="F536" t="str">
        <f>IFERROR(VLOOKUP(C536, merchants!$A$2:$D$41, 4, FALSE), "Merchant not found")</f>
        <v>North</v>
      </c>
      <c r="G536" s="1">
        <v>46036.585416666669</v>
      </c>
      <c r="H536">
        <v>499</v>
      </c>
      <c r="I536" t="s">
        <v>78</v>
      </c>
      <c r="J536" t="s">
        <v>64</v>
      </c>
      <c r="K536">
        <v>87</v>
      </c>
      <c r="L536">
        <f>IFERROR(HLOOKUP(TRIM(I536), FeeTable!$B$1:$H$2, 2, FALSE) * H536, 0)</f>
        <v>8.9819999999999993</v>
      </c>
      <c r="M536" t="str">
        <f t="shared" si="8"/>
        <v>Standard</v>
      </c>
    </row>
    <row r="537" spans="1:13" x14ac:dyDescent="0.3">
      <c r="A537" t="s">
        <v>604</v>
      </c>
      <c r="B537">
        <v>200</v>
      </c>
      <c r="C537">
        <v>14</v>
      </c>
      <c r="D537" t="str">
        <f>IFERROR(VLOOKUP(C537, merchants!$A$2:$D$41, 2, FALSE), "Merchant not found")</f>
        <v>Merchant_014</v>
      </c>
      <c r="E537" t="str">
        <f>IFERROR(VLOOKUP(C537, merchants!$A$2:$D$41, 3, FALSE), "Merchant not found")</f>
        <v>grocery</v>
      </c>
      <c r="F537" t="str">
        <f>IFERROR(VLOOKUP(C537, merchants!$A$2:$D$41, 4, FALSE), "Merchant not found")</f>
        <v>East</v>
      </c>
      <c r="G537" s="1">
        <v>46023.916666666664</v>
      </c>
      <c r="H537">
        <v>299</v>
      </c>
      <c r="I537" t="s">
        <v>78</v>
      </c>
      <c r="J537" t="s">
        <v>79</v>
      </c>
      <c r="K537">
        <v>77</v>
      </c>
      <c r="L537">
        <f>IFERROR(HLOOKUP(TRIM(I537), FeeTable!$B$1:$H$2, 2, FALSE) * H537, 0)</f>
        <v>5.3819999999999997</v>
      </c>
      <c r="M537" t="str">
        <f t="shared" si="8"/>
        <v>Standard</v>
      </c>
    </row>
    <row r="538" spans="1:13" x14ac:dyDescent="0.3">
      <c r="A538" t="s">
        <v>605</v>
      </c>
      <c r="B538">
        <v>200</v>
      </c>
      <c r="C538">
        <v>5</v>
      </c>
      <c r="D538" t="str">
        <f>IFERROR(VLOOKUP(C538, merchants!$A$2:$D$41, 2, FALSE), "Merchant not found")</f>
        <v>Merchant_005</v>
      </c>
      <c r="E538" t="str">
        <f>IFERROR(VLOOKUP(C538, merchants!$A$2:$D$41, 3, FALSE), "Merchant not found")</f>
        <v>recharge</v>
      </c>
      <c r="F538" t="str">
        <f>IFERROR(VLOOKUP(C538, merchants!$A$2:$D$41, 4, FALSE), "Merchant not found")</f>
        <v>South</v>
      </c>
      <c r="G538" s="1">
        <v>46023.917361111111</v>
      </c>
      <c r="H538">
        <v>499</v>
      </c>
      <c r="I538" t="s">
        <v>78</v>
      </c>
      <c r="J538" t="s">
        <v>79</v>
      </c>
      <c r="K538">
        <v>66</v>
      </c>
      <c r="L538">
        <f>IFERROR(HLOOKUP(TRIM(I538), FeeTable!$B$1:$H$2, 2, FALSE) * H538, 0)</f>
        <v>8.9819999999999993</v>
      </c>
      <c r="M538" t="str">
        <f t="shared" si="8"/>
        <v>Standard</v>
      </c>
    </row>
    <row r="539" spans="1:13" x14ac:dyDescent="0.3">
      <c r="A539" t="s">
        <v>606</v>
      </c>
      <c r="B539">
        <v>200</v>
      </c>
      <c r="C539">
        <v>35</v>
      </c>
      <c r="D539" t="str">
        <f>IFERROR(VLOOKUP(C539, merchants!$A$2:$D$41, 2, FALSE), "Merchant not found")</f>
        <v>Merchant_035</v>
      </c>
      <c r="E539" t="str">
        <f>IFERROR(VLOOKUP(C539, merchants!$A$2:$D$41, 3, FALSE), "Merchant not found")</f>
        <v>recharge</v>
      </c>
      <c r="F539" t="str">
        <f>IFERROR(VLOOKUP(C539, merchants!$A$2:$D$41, 4, FALSE), "Merchant not found")</f>
        <v>East</v>
      </c>
      <c r="G539" s="1">
        <v>46023.918055555558</v>
      </c>
      <c r="H539">
        <v>299</v>
      </c>
      <c r="I539" t="s">
        <v>78</v>
      </c>
      <c r="J539" t="s">
        <v>79</v>
      </c>
      <c r="K539">
        <v>83</v>
      </c>
      <c r="L539">
        <f>IFERROR(HLOOKUP(TRIM(I539), FeeTable!$B$1:$H$2, 2, FALSE) * H539, 0)</f>
        <v>5.3819999999999997</v>
      </c>
      <c r="M539" t="str">
        <f t="shared" si="8"/>
        <v>Standard</v>
      </c>
    </row>
    <row r="540" spans="1:13" x14ac:dyDescent="0.3">
      <c r="A540" t="s">
        <v>607</v>
      </c>
      <c r="B540">
        <v>200</v>
      </c>
      <c r="C540">
        <v>21</v>
      </c>
      <c r="D540" t="str">
        <f>IFERROR(VLOOKUP(C540, merchants!$A$2:$D$41, 2, FALSE), "Merchant not found")</f>
        <v>Merchant_021</v>
      </c>
      <c r="E540" t="str">
        <f>IFERROR(VLOOKUP(C540, merchants!$A$2:$D$41, 3, FALSE), "Merchant not found")</f>
        <v>food_delivery</v>
      </c>
      <c r="F540" t="str">
        <f>IFERROR(VLOOKUP(C540, merchants!$A$2:$D$41, 4, FALSE), "Merchant not found")</f>
        <v>East</v>
      </c>
      <c r="G540" s="1">
        <v>46023.918749999997</v>
      </c>
      <c r="H540">
        <v>299</v>
      </c>
      <c r="I540" t="s">
        <v>78</v>
      </c>
      <c r="J540" t="s">
        <v>64</v>
      </c>
      <c r="K540">
        <v>89</v>
      </c>
      <c r="L540">
        <f>IFERROR(HLOOKUP(TRIM(I540), FeeTable!$B$1:$H$2, 2, FALSE) * H540, 0)</f>
        <v>5.3819999999999997</v>
      </c>
      <c r="M540" t="str">
        <f t="shared" si="8"/>
        <v>Standard</v>
      </c>
    </row>
    <row r="541" spans="1:13" x14ac:dyDescent="0.3">
      <c r="A541" t="s">
        <v>608</v>
      </c>
      <c r="B541">
        <v>59</v>
      </c>
      <c r="C541">
        <v>32</v>
      </c>
      <c r="D541" t="str">
        <f>IFERROR(VLOOKUP(C541, merchants!$A$2:$D$41, 2, FALSE), "Merchant not found")</f>
        <v>Merchant_032</v>
      </c>
      <c r="E541" t="str">
        <f>IFERROR(VLOOKUP(C541, merchants!$A$2:$D$41, 3, FALSE), "Merchant not found")</f>
        <v>food_delivery</v>
      </c>
      <c r="F541" t="str">
        <f>IFERROR(VLOOKUP(C541, merchants!$A$2:$D$41, 4, FALSE), "Merchant not found")</f>
        <v>West</v>
      </c>
      <c r="G541" s="1">
        <v>46031.875</v>
      </c>
      <c r="H541">
        <v>499</v>
      </c>
      <c r="I541" t="s">
        <v>78</v>
      </c>
      <c r="J541" t="s">
        <v>79</v>
      </c>
      <c r="K541">
        <v>80</v>
      </c>
      <c r="L541">
        <f>IFERROR(HLOOKUP(TRIM(I541), FeeTable!$B$1:$H$2, 2, FALSE) * H541, 0)</f>
        <v>8.9819999999999993</v>
      </c>
      <c r="M541" t="str">
        <f t="shared" si="8"/>
        <v>Standard</v>
      </c>
    </row>
    <row r="542" spans="1:13" x14ac:dyDescent="0.3">
      <c r="A542" t="s">
        <v>609</v>
      </c>
      <c r="B542">
        <v>59</v>
      </c>
      <c r="C542">
        <v>39</v>
      </c>
      <c r="D542" t="str">
        <f>IFERROR(VLOOKUP(C542, merchants!$A$2:$D$41, 2, FALSE), "Merchant not found")</f>
        <v>Merchant_039</v>
      </c>
      <c r="E542" t="str">
        <f>IFERROR(VLOOKUP(C542, merchants!$A$2:$D$41, 3, FALSE), "Merchant not found")</f>
        <v>entertainment</v>
      </c>
      <c r="F542" t="str">
        <f>IFERROR(VLOOKUP(C542, merchants!$A$2:$D$41, 4, FALSE), "Merchant not found")</f>
        <v>North</v>
      </c>
      <c r="G542" s="1">
        <v>46031.875694444447</v>
      </c>
      <c r="H542">
        <v>399</v>
      </c>
      <c r="I542" t="s">
        <v>78</v>
      </c>
      <c r="J542" t="s">
        <v>79</v>
      </c>
      <c r="K542">
        <v>85</v>
      </c>
      <c r="L542">
        <f>IFERROR(HLOOKUP(TRIM(I542), FeeTable!$B$1:$H$2, 2, FALSE) * H542, 0)</f>
        <v>7.1819999999999995</v>
      </c>
      <c r="M542" t="str">
        <f t="shared" si="8"/>
        <v>Standard</v>
      </c>
    </row>
    <row r="543" spans="1:13" x14ac:dyDescent="0.3">
      <c r="A543" t="s">
        <v>610</v>
      </c>
      <c r="B543">
        <v>59</v>
      </c>
      <c r="C543">
        <v>38</v>
      </c>
      <c r="D543" t="str">
        <f>IFERROR(VLOOKUP(C543, merchants!$A$2:$D$41, 2, FALSE), "Merchant not found")</f>
        <v>Merchant_038</v>
      </c>
      <c r="E543" t="str">
        <f>IFERROR(VLOOKUP(C543, merchants!$A$2:$D$41, 3, FALSE), "Merchant not found")</f>
        <v>grocery</v>
      </c>
      <c r="F543" t="str">
        <f>IFERROR(VLOOKUP(C543, merchants!$A$2:$D$41, 4, FALSE), "Merchant not found")</f>
        <v>East</v>
      </c>
      <c r="G543" s="1">
        <v>46031.876388888886</v>
      </c>
      <c r="H543">
        <v>299</v>
      </c>
      <c r="I543" t="s">
        <v>78</v>
      </c>
      <c r="J543" t="s">
        <v>79</v>
      </c>
      <c r="K543">
        <v>82</v>
      </c>
      <c r="L543">
        <f>IFERROR(HLOOKUP(TRIM(I543), FeeTable!$B$1:$H$2, 2, FALSE) * H543, 0)</f>
        <v>5.3819999999999997</v>
      </c>
      <c r="M543" t="str">
        <f t="shared" si="8"/>
        <v>Standard</v>
      </c>
    </row>
    <row r="544" spans="1:13" x14ac:dyDescent="0.3">
      <c r="A544" t="s">
        <v>611</v>
      </c>
      <c r="B544">
        <v>59</v>
      </c>
      <c r="C544">
        <v>23</v>
      </c>
      <c r="D544" t="str">
        <f>IFERROR(VLOOKUP(C544, merchants!$A$2:$D$41, 2, FALSE), "Merchant not found")</f>
        <v>Merchant_023</v>
      </c>
      <c r="E544" t="str">
        <f>IFERROR(VLOOKUP(C544, merchants!$A$2:$D$41, 3, FALSE), "Merchant not found")</f>
        <v>travel</v>
      </c>
      <c r="F544" t="str">
        <f>IFERROR(VLOOKUP(C544, merchants!$A$2:$D$41, 4, FALSE), "Merchant not found")</f>
        <v>North</v>
      </c>
      <c r="G544" s="1">
        <v>46031.877083333333</v>
      </c>
      <c r="H544">
        <v>399</v>
      </c>
      <c r="I544" t="s">
        <v>78</v>
      </c>
      <c r="J544" t="s">
        <v>64</v>
      </c>
      <c r="K544">
        <v>71</v>
      </c>
      <c r="L544">
        <f>IFERROR(HLOOKUP(TRIM(I544), FeeTable!$B$1:$H$2, 2, FALSE) * H544, 0)</f>
        <v>7.1819999999999995</v>
      </c>
      <c r="M544" t="str">
        <f t="shared" si="8"/>
        <v>Standard</v>
      </c>
    </row>
    <row r="545" spans="1:13" x14ac:dyDescent="0.3">
      <c r="A545" t="s">
        <v>612</v>
      </c>
      <c r="B545">
        <v>345</v>
      </c>
      <c r="C545">
        <v>40</v>
      </c>
      <c r="D545" t="str">
        <f>IFERROR(VLOOKUP(C545, merchants!$A$2:$D$41, 2, FALSE), "Merchant not found")</f>
        <v>Merchant_040</v>
      </c>
      <c r="E545" t="str">
        <f>IFERROR(VLOOKUP(C545, merchants!$A$2:$D$41, 3, FALSE), "Merchant not found")</f>
        <v>entertainment</v>
      </c>
      <c r="F545" t="str">
        <f>IFERROR(VLOOKUP(C545, merchants!$A$2:$D$41, 4, FALSE), "Merchant not found")</f>
        <v>South</v>
      </c>
      <c r="G545" s="1">
        <v>46045.375</v>
      </c>
      <c r="H545">
        <v>499</v>
      </c>
      <c r="I545" t="s">
        <v>78</v>
      </c>
      <c r="J545" t="s">
        <v>79</v>
      </c>
      <c r="K545">
        <v>65</v>
      </c>
      <c r="L545">
        <f>IFERROR(HLOOKUP(TRIM(I545), FeeTable!$B$1:$H$2, 2, FALSE) * H545, 0)</f>
        <v>8.9819999999999993</v>
      </c>
      <c r="M545" t="str">
        <f t="shared" si="8"/>
        <v>Standard</v>
      </c>
    </row>
    <row r="546" spans="1:13" x14ac:dyDescent="0.3">
      <c r="A546" t="s">
        <v>613</v>
      </c>
      <c r="B546">
        <v>345</v>
      </c>
      <c r="C546">
        <v>9</v>
      </c>
      <c r="D546" t="str">
        <f>IFERROR(VLOOKUP(C546, merchants!$A$2:$D$41, 2, FALSE), "Merchant not found")</f>
        <v>Merchant_009</v>
      </c>
      <c r="E546" t="str">
        <f>IFERROR(VLOOKUP(C546, merchants!$A$2:$D$41, 3, FALSE), "Merchant not found")</f>
        <v>ecommerce</v>
      </c>
      <c r="F546" t="str">
        <f>IFERROR(VLOOKUP(C546, merchants!$A$2:$D$41, 4, FALSE), "Merchant not found")</f>
        <v>North</v>
      </c>
      <c r="G546" s="1">
        <v>46045.375694444447</v>
      </c>
      <c r="H546">
        <v>399</v>
      </c>
      <c r="I546" t="s">
        <v>78</v>
      </c>
      <c r="J546" t="s">
        <v>79</v>
      </c>
      <c r="K546">
        <v>67</v>
      </c>
      <c r="L546">
        <f>IFERROR(HLOOKUP(TRIM(I546), FeeTable!$B$1:$H$2, 2, FALSE) * H546, 0)</f>
        <v>7.1819999999999995</v>
      </c>
      <c r="M546" t="str">
        <f t="shared" si="8"/>
        <v>Standard</v>
      </c>
    </row>
    <row r="547" spans="1:13" x14ac:dyDescent="0.3">
      <c r="A547" t="s">
        <v>614</v>
      </c>
      <c r="B547">
        <v>345</v>
      </c>
      <c r="C547">
        <v>16</v>
      </c>
      <c r="D547" t="str">
        <f>IFERROR(VLOOKUP(C547, merchants!$A$2:$D$41, 2, FALSE), "Merchant not found")</f>
        <v>Merchant_016</v>
      </c>
      <c r="E547" t="str">
        <f>IFERROR(VLOOKUP(C547, merchants!$A$2:$D$41, 3, FALSE), "Merchant not found")</f>
        <v>bill_payment</v>
      </c>
      <c r="F547" t="str">
        <f>IFERROR(VLOOKUP(C547, merchants!$A$2:$D$41, 4, FALSE), "Merchant not found")</f>
        <v>West</v>
      </c>
      <c r="G547" s="1">
        <v>46045.376388888886</v>
      </c>
      <c r="H547">
        <v>399</v>
      </c>
      <c r="I547" t="s">
        <v>78</v>
      </c>
      <c r="J547" t="s">
        <v>79</v>
      </c>
      <c r="K547">
        <v>67</v>
      </c>
      <c r="L547">
        <f>IFERROR(HLOOKUP(TRIM(I547), FeeTable!$B$1:$H$2, 2, FALSE) * H547, 0)</f>
        <v>7.1819999999999995</v>
      </c>
      <c r="M547" t="str">
        <f t="shared" si="8"/>
        <v>Standard</v>
      </c>
    </row>
    <row r="548" spans="1:13" x14ac:dyDescent="0.3">
      <c r="A548" t="s">
        <v>615</v>
      </c>
      <c r="B548">
        <v>345</v>
      </c>
      <c r="C548">
        <v>12</v>
      </c>
      <c r="D548" t="str">
        <f>IFERROR(VLOOKUP(C548, merchants!$A$2:$D$41, 2, FALSE), "Merchant not found")</f>
        <v>Merchant_012</v>
      </c>
      <c r="E548" t="str">
        <f>IFERROR(VLOOKUP(C548, merchants!$A$2:$D$41, 3, FALSE), "Merchant not found")</f>
        <v>ecommerce</v>
      </c>
      <c r="F548" t="str">
        <f>IFERROR(VLOOKUP(C548, merchants!$A$2:$D$41, 4, FALSE), "Merchant not found")</f>
        <v>East</v>
      </c>
      <c r="G548" s="1">
        <v>46045.377083333333</v>
      </c>
      <c r="H548">
        <v>399</v>
      </c>
      <c r="I548" t="s">
        <v>78</v>
      </c>
      <c r="J548" t="s">
        <v>64</v>
      </c>
      <c r="K548">
        <v>69</v>
      </c>
      <c r="L548">
        <f>IFERROR(HLOOKUP(TRIM(I548), FeeTable!$B$1:$H$2, 2, FALSE) * H548, 0)</f>
        <v>7.1819999999999995</v>
      </c>
      <c r="M548" t="str">
        <f t="shared" si="8"/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88A59-FEE8-44C9-98AA-AB9CD2EF9CD1}">
  <dimension ref="A1:H5"/>
  <sheetViews>
    <sheetView workbookViewId="0">
      <selection activeCell="C8" sqref="C8"/>
    </sheetView>
  </sheetViews>
  <sheetFormatPr defaultRowHeight="14.4" x14ac:dyDescent="0.3"/>
  <cols>
    <col min="1" max="1" width="14.88671875" customWidth="1"/>
    <col min="4" max="4" width="10.33203125" customWidth="1"/>
    <col min="5" max="5" width="14.88671875" customWidth="1"/>
    <col min="8" max="8" width="15.21875" customWidth="1"/>
  </cols>
  <sheetData>
    <row r="1" spans="1:8" x14ac:dyDescent="0.3">
      <c r="A1" s="3" t="s">
        <v>59</v>
      </c>
      <c r="B1" s="4" t="s">
        <v>66</v>
      </c>
      <c r="C1" s="4" t="s">
        <v>63</v>
      </c>
      <c r="D1" s="4" t="s">
        <v>78</v>
      </c>
      <c r="E1" s="5" t="s">
        <v>618</v>
      </c>
    </row>
    <row r="2" spans="1:8" x14ac:dyDescent="0.3">
      <c r="A2" s="6" t="s">
        <v>617</v>
      </c>
      <c r="B2" s="7">
        <v>0</v>
      </c>
      <c r="C2" s="7">
        <v>1.0999999999999999E-2</v>
      </c>
      <c r="D2" s="7">
        <v>1.7999999999999999E-2</v>
      </c>
      <c r="E2" s="8">
        <v>1.4999999999999999E-2</v>
      </c>
    </row>
    <row r="5" spans="1:8" x14ac:dyDescent="0.3">
      <c r="E5" s="2"/>
      <c r="F5" s="2"/>
      <c r="G5" s="2"/>
      <c r="H5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merchants</vt:lpstr>
      <vt:lpstr>Summary_Pivot</vt:lpstr>
      <vt:lpstr>transactions</vt:lpstr>
      <vt:lpstr>FeeTable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sanika.b1997@gmail.com</dc:creator>
  <cp:lastModifiedBy>sanika.b1997@gmail.com</cp:lastModifiedBy>
  <dcterms:created xsi:type="dcterms:W3CDTF">2026-08-13T16:40:41Z</dcterms:created>
  <dcterms:modified xsi:type="dcterms:W3CDTF">2026-08-13T18:13:48Z</dcterms:modified>
</cp:coreProperties>
</file>